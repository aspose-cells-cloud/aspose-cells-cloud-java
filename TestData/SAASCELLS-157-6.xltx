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>
    <mc:Choice Requires="x15">
      <x15ac:absPath xmlns:x15ac="http://schemas.microsoft.com/office/spreadsheetml/2010/11/ac" url="C:\Users\kristis\Desktop\Do Forms\Templates\Uploaded\"/>
    </mc:Choice>
  </mc:AlternateContent>
  <bookViews>
    <workbookView xWindow="0" yWindow="0" windowWidth="20220" windowHeight="7035"/>
  </bookViews>
  <sheets>
    <sheet name="Sheet4" sheetId="7" r:id="rId1"/>
    <sheet name="OMR" sheetId="6" state="hidden" r:id="rId2"/>
    <sheet name="Bed Bug Inspection" sheetId="1" state="hidden" r:id="rId3"/>
    <sheet name="Heat Evaluation" sheetId="5" state="hidden" r:id="rId4"/>
    <sheet name="Sheet1" sheetId="4" state="hidden" r:id="rId5"/>
  </sheets>
  <definedNames>
    <definedName name="BB_Heat">Sheet4!$B$1:$AD$42+'Heat Evaluation'!$A$1:$AC$95</definedName>
    <definedName name="BB_OMR">(Sheet4!$B$1:$AD$36)(OMR!$A$1:$AC$57)</definedName>
    <definedName name="_xlnm.Print_Area" comment="=OFFSET('Bed Bug Inspection'!$A$1,0,0,'Bed Bug Inspection'!$B$88+88,29)" localSheetId="2">Sheet4!$B$1:$AD$42</definedName>
    <definedName name="_xlnm.Print_Area" localSheetId="3">'Heat Evaluation'!$A$1:$AC$95</definedName>
    <definedName name="_xlnm.Print_Area" localSheetId="1">OMR!$A$1:$AC$57</definedName>
    <definedName name="_xlnm.Print_Area" localSheetId="0">Sheet4!$A$1:$AE$516</definedName>
    <definedName name="Print_Area_ALL" localSheetId="0">IF(AND(Sheet4!XFC1048576="yes",Sheet4!XFC1="No",Sheet4!XFC2="no"),Sheet4!#REF!,IF(AND(Sheet4!XFC1048576="Yes",Sheet4!XFC1="Yes",Sheet4!XFC2="No"),Sheet4!#REF!,IF(AND(Sheet4!XFC1048576="Yes",Sheet4!XFC1="No",Sheet4!XFC2="Yes"),Sheet4!#REF!,IF(AND(Sheet4!XFC1048576="Yes",Sheet4!XFC1="Yes",Sheet4!XFC2="Yes"),Sheet4!$B$1:$AD$42,"Need All Criteria"))))</definedName>
    <definedName name="_xlnm.Print_Titles" localSheetId="0">Sheet4!$1:$6</definedName>
  </definedNames>
  <calcPr calcId="0"/>
  <extLs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7" l="1"/>
  <c r="AM2" i="7"/>
  <c r="AN2" i="7" s="1"/>
  <c r="AJ3" i="7" s="1"/>
  <c r="AJ4" i="7" s="1"/>
  <c r="AL2" i="7"/>
  <c r="AK2" i="7"/>
  <c r="AG9" i="7" l="1"/>
  <c r="AG10" i="7"/>
  <c r="AG11" i="7"/>
  <c r="AG12" i="7"/>
  <c r="AG13" i="7"/>
  <c r="AG14" i="7"/>
  <c r="AG15" i="7"/>
  <c r="AG16" i="7"/>
  <c r="AG17" i="7"/>
  <c r="AG60" i="7"/>
  <c r="AG61" i="7"/>
  <c r="AG62" i="7"/>
  <c r="AG63" i="7"/>
  <c r="AG64" i="7"/>
  <c r="AG65" i="7"/>
  <c r="AG66" i="7"/>
  <c r="AG67" i="7"/>
  <c r="AG68" i="7"/>
  <c r="AG111" i="7"/>
  <c r="AG112" i="7"/>
  <c r="AG113" i="7"/>
  <c r="AG114" i="7"/>
  <c r="AG115" i="7"/>
  <c r="AG116" i="7"/>
  <c r="AG117" i="7"/>
  <c r="AG118" i="7"/>
  <c r="AG119" i="7"/>
  <c r="AG162" i="7"/>
  <c r="AG163" i="7"/>
  <c r="AG164" i="7"/>
  <c r="AG165" i="7"/>
  <c r="AG166" i="7"/>
  <c r="AG167" i="7"/>
  <c r="AG168" i="7"/>
  <c r="AG169" i="7"/>
  <c r="AG170" i="7"/>
  <c r="AG213" i="7"/>
  <c r="AG214" i="7"/>
  <c r="AG215" i="7"/>
  <c r="AG216" i="7"/>
  <c r="AG217" i="7"/>
  <c r="AG218" i="7"/>
  <c r="AG219" i="7"/>
  <c r="AG220" i="7"/>
  <c r="AG221" i="7"/>
  <c r="AG264" i="7"/>
  <c r="AG265" i="7"/>
  <c r="AG266" i="7"/>
  <c r="AG267" i="7"/>
  <c r="AG268" i="7"/>
  <c r="AG269" i="7"/>
  <c r="AG270" i="7"/>
  <c r="AG271" i="7"/>
  <c r="AG272" i="7"/>
  <c r="AG315" i="7"/>
  <c r="AG316" i="7"/>
  <c r="AG317" i="7"/>
  <c r="AG318" i="7"/>
  <c r="AG319" i="7"/>
  <c r="AG320" i="7"/>
  <c r="AG321" i="7"/>
  <c r="AG322" i="7"/>
  <c r="AG323" i="7"/>
  <c r="AG366" i="7"/>
  <c r="AG367" i="7"/>
  <c r="AG368" i="7"/>
  <c r="AG369" i="7"/>
  <c r="AG370" i="7"/>
  <c r="AG371" i="7"/>
  <c r="AG372" i="7"/>
  <c r="AG373" i="7"/>
  <c r="AG374" i="7"/>
  <c r="AG417" i="7"/>
  <c r="AG418" i="7"/>
  <c r="AG419" i="7"/>
  <c r="AG420" i="7"/>
  <c r="AG421" i="7"/>
  <c r="AG422" i="7"/>
  <c r="AG423" i="7"/>
  <c r="AG424" i="7"/>
  <c r="AG425" i="7"/>
  <c r="AG468" i="7"/>
  <c r="AG469" i="7"/>
  <c r="AG470" i="7"/>
  <c r="AG471" i="7"/>
  <c r="AG472" i="7"/>
  <c r="AG473" i="7"/>
  <c r="AG474" i="7"/>
  <c r="AG475" i="7"/>
  <c r="AG476" i="7"/>
  <c r="P492" i="7" l="1"/>
  <c r="B492" i="7"/>
  <c r="P487" i="7"/>
  <c r="B487" i="7"/>
  <c r="L481" i="7"/>
  <c r="B481" i="7"/>
  <c r="V473" i="7"/>
  <c r="L473" i="7"/>
  <c r="AG467" i="7"/>
  <c r="B473" i="7" s="1"/>
  <c r="L430" i="7"/>
  <c r="P441" i="7"/>
  <c r="B441" i="7"/>
  <c r="P436" i="7"/>
  <c r="B436" i="7"/>
  <c r="B430" i="7"/>
  <c r="V422" i="7"/>
  <c r="L422" i="7"/>
  <c r="AG416" i="7"/>
  <c r="B422" i="7" s="1"/>
  <c r="P390" i="7"/>
  <c r="B390" i="7"/>
  <c r="P385" i="7"/>
  <c r="B385" i="7"/>
  <c r="L379" i="7"/>
  <c r="B379" i="7"/>
  <c r="V371" i="7"/>
  <c r="L371" i="7"/>
  <c r="AG365" i="7"/>
  <c r="B371" i="7" s="1"/>
  <c r="P334" i="7"/>
  <c r="P339" i="7"/>
  <c r="B339" i="7"/>
  <c r="B334" i="7"/>
  <c r="L328" i="7"/>
  <c r="B328" i="7"/>
  <c r="V320" i="7"/>
  <c r="L320" i="7"/>
  <c r="AG314" i="7"/>
  <c r="B320" i="7" s="1"/>
  <c r="B288" i="7"/>
  <c r="P288" i="7"/>
  <c r="P283" i="7"/>
  <c r="B283" i="7"/>
  <c r="L277" i="7"/>
  <c r="B277" i="7"/>
  <c r="V269" i="7"/>
  <c r="L269" i="7"/>
  <c r="AG263" i="7"/>
  <c r="B269" i="7" s="1"/>
  <c r="P237" i="7"/>
  <c r="B237" i="7"/>
  <c r="P232" i="7"/>
  <c r="B232" i="7"/>
  <c r="L226" i="7"/>
  <c r="B226" i="7"/>
  <c r="V218" i="7"/>
  <c r="L218" i="7"/>
  <c r="AG212" i="7"/>
  <c r="B218" i="7" s="1"/>
  <c r="AG161" i="7"/>
  <c r="B167" i="7" s="1"/>
  <c r="P186" i="7"/>
  <c r="B186" i="7"/>
  <c r="P181" i="7"/>
  <c r="B181" i="7"/>
  <c r="L175" i="7"/>
  <c r="B175" i="7"/>
  <c r="V167" i="7"/>
  <c r="L167" i="7"/>
  <c r="L116" i="7"/>
  <c r="P135" i="7"/>
  <c r="B135" i="7"/>
  <c r="P130" i="7"/>
  <c r="B130" i="7"/>
  <c r="L124" i="7"/>
  <c r="B124" i="7"/>
  <c r="V116" i="7"/>
  <c r="AG110" i="7"/>
  <c r="B116" i="7" s="1"/>
  <c r="B73" i="7"/>
  <c r="P84" i="7"/>
  <c r="B84" i="7"/>
  <c r="P79" i="7"/>
  <c r="B79" i="7"/>
  <c r="L73" i="7"/>
  <c r="V65" i="7"/>
  <c r="L65" i="7"/>
  <c r="AG59" i="7"/>
  <c r="B65" i="7" s="1"/>
  <c r="P33" i="7"/>
  <c r="B33" i="7"/>
  <c r="P28" i="7"/>
  <c r="B28" i="7"/>
  <c r="L22" i="7"/>
  <c r="B22" i="7"/>
  <c r="V14" i="7"/>
  <c r="L14" i="7"/>
  <c r="AG8" i="7"/>
  <c r="B14" i="7" s="1"/>
  <c r="E1" i="4" l="1"/>
  <c r="F1" i="4" l="1"/>
</calcChain>
</file>

<file path=xl/sharedStrings.xml><?xml version="1.0" encoding="utf-8"?>
<sst xmlns="http://schemas.openxmlformats.org/spreadsheetml/2006/main" count="956" uniqueCount="578">
  <si>
    <t>Technician(s):</t>
  </si>
  <si>
    <t>Date:</t>
  </si>
  <si>
    <t>Time In:</t>
  </si>
  <si>
    <t>Time Out:</t>
  </si>
  <si>
    <t>{Date}</t>
  </si>
  <si>
    <t>{Arrival_Time}</t>
  </si>
  <si>
    <t>{Departure_Time}</t>
  </si>
  <si>
    <t>{Customer_Name}</t>
  </si>
  <si>
    <t>Address:</t>
  </si>
  <si>
    <t>{Address}</t>
  </si>
  <si>
    <t>{Technician}</t>
  </si>
  <si>
    <t>{Bedroom_Type(1)}</t>
  </si>
  <si>
    <t>{BR_Under_bed(1)}</t>
  </si>
  <si>
    <t>{BR_Check(1)}</t>
  </si>
  <si>
    <t>{Bedroom_Type(2)}</t>
  </si>
  <si>
    <t>{BR_Under_bed(2)}</t>
  </si>
  <si>
    <t>{BR_Check(2)}</t>
  </si>
  <si>
    <t>{Bedroom_Type(3)}</t>
  </si>
  <si>
    <t>{BR_Under_bed(3)}</t>
  </si>
  <si>
    <t>{BR_Check(3)}</t>
  </si>
  <si>
    <t>{Bedroom_Type(4)}</t>
  </si>
  <si>
    <t>{BR_Under_bed(4)}</t>
  </si>
  <si>
    <t>{BR_Check(4)}</t>
  </si>
  <si>
    <t>{Bedroom_Type(5)}</t>
  </si>
  <si>
    <t>{BR_Under_bed(5)}</t>
  </si>
  <si>
    <t>{BR_Check(5)}</t>
  </si>
  <si>
    <t>{Living_Room}</t>
  </si>
  <si>
    <t>{Kitchen_Dining}</t>
  </si>
  <si>
    <t>{Bathroom_s}</t>
  </si>
  <si>
    <t>{Hall_Closet_s}</t>
  </si>
  <si>
    <t>{Pic1}</t>
  </si>
  <si>
    <t>{pic2}</t>
  </si>
  <si>
    <t>{Pic3}</t>
  </si>
  <si>
    <t>{pic4}</t>
  </si>
  <si>
    <t>{Were_you_satisfied_tech(1)}</t>
  </si>
  <si>
    <t>{Were_you_satisfied_service(1)}</t>
  </si>
  <si>
    <t>{Managers_Comments(1)}</t>
  </si>
  <si>
    <t>{Site_Managers_Name(1)}</t>
  </si>
  <si>
    <t>{Site_Manager(1)}</t>
  </si>
  <si>
    <t>{PCO_Signature}</t>
  </si>
  <si>
    <t>{Unit}</t>
  </si>
  <si>
    <t>Apartment too cluttered to treat?</t>
  </si>
  <si>
    <t>Anything stored under the bed?</t>
  </si>
  <si>
    <t>Areas where bed bug activity is present.</t>
  </si>
  <si>
    <t>Living Room</t>
  </si>
  <si>
    <t>Kitchen/Dining</t>
  </si>
  <si>
    <t>Bathroom(s)</t>
  </si>
  <si>
    <t>Hall Closet(s)</t>
  </si>
  <si>
    <t>Corbett Exterminating</t>
  </si>
  <si>
    <t>Office Manager's Report</t>
  </si>
  <si>
    <t>Time of arrival:</t>
  </si>
  <si>
    <t>Time of Departure:</t>
  </si>
  <si>
    <t>Name of Complex:</t>
  </si>
  <si>
    <t>Foundation Type:</t>
  </si>
  <si>
    <t>{Foundation}</t>
  </si>
  <si>
    <t>Other:</t>
  </si>
  <si>
    <t>{foundation_Other}</t>
  </si>
  <si>
    <t>Interior Rodent Stations</t>
  </si>
  <si>
    <t>Exterior Rodent Stations</t>
  </si>
  <si>
    <t>Rodent Trapping</t>
  </si>
  <si>
    <t># of Stations</t>
  </si>
  <si>
    <t>{Int_Number_of_Stations}</t>
  </si>
  <si>
    <t>{Ext_Number_of_Stations}</t>
  </si>
  <si>
    <t>Mice Glue Boards</t>
  </si>
  <si>
    <t>{Mice_Glue_Boards}</t>
  </si>
  <si>
    <t>Replaced</t>
  </si>
  <si>
    <t>{Int_Replaced}</t>
  </si>
  <si>
    <t>Missing</t>
  </si>
  <si>
    <t>{Ext_Replaced}</t>
  </si>
  <si>
    <t>Rat Glue Boards</t>
  </si>
  <si>
    <t>{Rat_Glue_Boards}</t>
  </si>
  <si>
    <t>Mice Stations</t>
  </si>
  <si>
    <t>{Int_Mice_Stations}</t>
  </si>
  <si>
    <t>Damaged</t>
  </si>
  <si>
    <t>{Ext_Mice_Stations}</t>
  </si>
  <si>
    <t>Snap Traps</t>
  </si>
  <si>
    <t>{Snap_Traps}</t>
  </si>
  <si>
    <t>Chemical Usage:</t>
  </si>
  <si>
    <t>Chemical</t>
  </si>
  <si>
    <t>{Chemical(1)}</t>
  </si>
  <si>
    <t>{Percentage(1)}</t>
  </si>
  <si>
    <t>%</t>
  </si>
  <si>
    <t>Amount</t>
  </si>
  <si>
    <t>{Amount(1)}</t>
  </si>
  <si>
    <t>{UOM1(1)}</t>
  </si>
  <si>
    <t>{Chemical(2)}</t>
  </si>
  <si>
    <t>{Percentage(2)}</t>
  </si>
  <si>
    <t>{Amount(2)}</t>
  </si>
  <si>
    <t>{UOM1(2)}</t>
  </si>
  <si>
    <t>{Chemical(3)}</t>
  </si>
  <si>
    <t>{Percentage(3)}</t>
  </si>
  <si>
    <t>{Amount(3)}</t>
  </si>
  <si>
    <t>{UOM1(3)}</t>
  </si>
  <si>
    <t>{Chemical(4)}</t>
  </si>
  <si>
    <t>{Percentage(4)}</t>
  </si>
  <si>
    <t>{Amount(4)}</t>
  </si>
  <si>
    <t>{UOM1(4)}</t>
  </si>
  <si>
    <t>{Chemical(5)}</t>
  </si>
  <si>
    <t>{Percentage(5)}</t>
  </si>
  <si>
    <t>{Amount(5)}</t>
  </si>
  <si>
    <t>{UOM1(5)}</t>
  </si>
  <si>
    <t>Rodenticide</t>
  </si>
  <si>
    <t>{Rodenticides(1)}</t>
  </si>
  <si>
    <t>{Rod_Percentage(1)}</t>
  </si>
  <si>
    <t>{Rod_Amount(1)}</t>
  </si>
  <si>
    <t>{UOM2(1)}</t>
  </si>
  <si>
    <t>Rate</t>
  </si>
  <si>
    <t>{Rod_rate(1)}</t>
  </si>
  <si>
    <t>{Rodenticides(2)}</t>
  </si>
  <si>
    <t>{Rod_Percentage(2)}</t>
  </si>
  <si>
    <t>{Rod_Amount(2)}</t>
  </si>
  <si>
    <t>{UOM2(2)}</t>
  </si>
  <si>
    <t>{Rodenticides(3)}</t>
  </si>
  <si>
    <t>{Rod_Percentage(3)}</t>
  </si>
  <si>
    <t>{Rod_Amount(3)}</t>
  </si>
  <si>
    <t>{UOM2(3)}</t>
  </si>
  <si>
    <t>{Rodenticides(4)}</t>
  </si>
  <si>
    <t>{Rod_Percentage(4)}</t>
  </si>
  <si>
    <t>{Rod_Amount(4)}</t>
  </si>
  <si>
    <t>{UOM2(4)}</t>
  </si>
  <si>
    <t>{Rodenticides(5)}</t>
  </si>
  <si>
    <t>{Rod_Percentage(5)}</t>
  </si>
  <si>
    <t>{Rod_Amount(5)}</t>
  </si>
  <si>
    <t>{UOM2(5)}</t>
  </si>
  <si>
    <t>P.C.O. Comments:</t>
  </si>
  <si>
    <t>{PCO_Comments2}</t>
  </si>
  <si>
    <t>Site Manager Section</t>
  </si>
  <si>
    <t>Were you satisfied with the technician(s)?</t>
  </si>
  <si>
    <t>Were you satisfied with the service?</t>
  </si>
  <si>
    <t>Manager's Comments:</t>
  </si>
  <si>
    <t>Manager's Name</t>
  </si>
  <si>
    <t>Integrated Pest Management</t>
  </si>
  <si>
    <t>1-800-888-Pest</t>
  </si>
  <si>
    <t>Bed Bug Intensive Thermal Evaluation - Step 1: Evaluation Form</t>
  </si>
  <si>
    <t>Time of Arrival:</t>
  </si>
  <si>
    <t>Complex:</t>
  </si>
  <si>
    <t>Address</t>
  </si>
  <si>
    <t>Did the technician review this form &amp; their findings with management/maintenance?</t>
  </si>
  <si>
    <t>C/A Keyed?</t>
  </si>
  <si>
    <t>Set Up:</t>
  </si>
  <si>
    <t>Trailer can be parked at</t>
  </si>
  <si>
    <t>{Trailer_can_be_parked_at}</t>
  </si>
  <si>
    <t>Does Parking Need To Be Reserved?</t>
  </si>
  <si>
    <t>Problem Unit</t>
  </si>
  <si>
    <t># of B/Rs</t>
  </si>
  <si>
    <t>Levels</t>
  </si>
  <si>
    <t>{Number_of_levels}</t>
  </si>
  <si>
    <t>Walls:</t>
  </si>
  <si>
    <t>Floors:</t>
  </si>
  <si>
    <t>Cluttered?</t>
  </si>
  <si>
    <t>What floor is the problem unit on?</t>
  </si>
  <si>
    <t>{What_floor_is_the_problem_unit}</t>
  </si>
  <si>
    <t>Unit Keyed?</t>
  </si>
  <si>
    <t>{Apartment_Door_Keyed}</t>
  </si>
  <si>
    <t>Specific locations and type of clutter:</t>
  </si>
  <si>
    <t>{Specific_locations_and_type_of}</t>
  </si>
  <si>
    <t>Medical Equipment &amp; Location:</t>
  </si>
  <si>
    <t>{Medical_Equipment_Location}</t>
  </si>
  <si>
    <t>Climb Ups Installed:</t>
  </si>
  <si>
    <t>Number &amp; Location</t>
  </si>
  <si>
    <t>{Number_Location_of_Climb_Ups_I}</t>
  </si>
  <si>
    <t>Are beds away from all walls and other furniture?</t>
  </si>
  <si>
    <t>{Are_beds_away_from_all_walls_a}</t>
  </si>
  <si>
    <t>Are blankets/sheets touching the floor?</t>
  </si>
  <si>
    <t>{Are_blankets_or_sheets_touchin}</t>
  </si>
  <si>
    <t>Notes:</t>
  </si>
  <si>
    <t>{Notes}</t>
  </si>
  <si>
    <t>Adjacent Unit</t>
  </si>
  <si>
    <t>{Adj_Unit(1)}</t>
  </si>
  <si>
    <t>Access?</t>
  </si>
  <si>
    <t>Additional Material/Supplies Needed:</t>
  </si>
  <si>
    <t>{Additional_Material_Supplies_N}</t>
  </si>
  <si>
    <t>{Technician1}</t>
  </si>
  <si>
    <t>Site Manager</t>
  </si>
  <si>
    <t>Pictures of Unit</t>
  </si>
  <si>
    <t>Escort:</t>
  </si>
  <si>
    <t>{Escort}</t>
  </si>
  <si>
    <t>{Arrival_Time_label}</t>
  </si>
  <si>
    <t>{Did_the_technician_review_this(1)}</t>
  </si>
  <si>
    <t>{Does_parking_need_to_be_reserv}</t>
  </si>
  <si>
    <t>{HE_Number_of_Bedrooms}</t>
  </si>
  <si>
    <t>{Walls}</t>
  </si>
  <si>
    <t>{Floors}</t>
  </si>
  <si>
    <t>{HE_Cluttered}</t>
  </si>
  <si>
    <t>{HE_Walls(1)}</t>
  </si>
  <si>
    <t>{HE_Floors(1)}</t>
  </si>
  <si>
    <t>{HE_adj_Cluttered(1)}</t>
  </si>
  <si>
    <t>{HE_Number_Location_of_Climb_Up(1)}</t>
  </si>
  <si>
    <t>{HE_beds_away_from_all_walls_a(1)}</t>
  </si>
  <si>
    <t>{HE_blankets_or_sheets_touchin(1)}</t>
  </si>
  <si>
    <t>{HE_Notes(1)}</t>
  </si>
  <si>
    <t>{HE_Access(1)}</t>
  </si>
  <si>
    <t>{adj_Unit(2)}</t>
  </si>
  <si>
    <t>{HE_Walls(2)}</t>
  </si>
  <si>
    <t>{HE_Floors(2)}</t>
  </si>
  <si>
    <t>{HE_adj_Cluttered(2)}</t>
  </si>
  <si>
    <t>{HE_Number_Location_of_Climb_Up(2)}</t>
  </si>
  <si>
    <t>{HE_beds_away_from_all_walls_a(2)}</t>
  </si>
  <si>
    <t>{HE_blankets_or_sheets_touchin(2)}</t>
  </si>
  <si>
    <t>{HE_Notes(2)}</t>
  </si>
  <si>
    <t>{HE_Access(2)}</t>
  </si>
  <si>
    <t>{adj_Unit(3)}</t>
  </si>
  <si>
    <t>{HE_Walls(3)}</t>
  </si>
  <si>
    <t>{HE_Floors(3)}</t>
  </si>
  <si>
    <t>{HE_adj_Cluttered(3)}</t>
  </si>
  <si>
    <t>{HE_Number_Location_of_Climb_Up(3)}</t>
  </si>
  <si>
    <t>{HE_beds_away_from_all_walls_a(3)}</t>
  </si>
  <si>
    <t>{HE_blankets_or_sheets_touchin(3)}</t>
  </si>
  <si>
    <t>{HE_Access(3)}</t>
  </si>
  <si>
    <t>{HE_Notes(3)}</t>
  </si>
  <si>
    <t>{adj_Unit(4)}</t>
  </si>
  <si>
    <t>{HE_Walls(4)}</t>
  </si>
  <si>
    <t>{HE_Floors(4)}</t>
  </si>
  <si>
    <t>{HE_adj_Cluttered(4)}</t>
  </si>
  <si>
    <t>{HE_Number_Location_of_Climb_Up(4)}</t>
  </si>
  <si>
    <t>{HE_beds_away_from_all_walls_a(4)}</t>
  </si>
  <si>
    <t>{HE_blankets_or_sheets_touchin(4)}</t>
  </si>
  <si>
    <t>{HE_Access(4)}</t>
  </si>
  <si>
    <t>{HE_Notes(4)}</t>
  </si>
  <si>
    <t>{Common_Areas_Keyed}</t>
  </si>
  <si>
    <t>PCO Signature</t>
  </si>
  <si>
    <t>Technician</t>
  </si>
  <si>
    <t>Bed Bug Inspection for Apartments</t>
  </si>
  <si>
    <t>Building/Unit #:</t>
  </si>
  <si>
    <t>{Unit(1)}</t>
  </si>
  <si>
    <t>{cluttered(1)}</t>
  </si>
  <si>
    <t>{Clutter_details(1)}</t>
  </si>
  <si>
    <t>{Bedroom_Type(1,1)}</t>
  </si>
  <si>
    <t>{Bedroom_Type(1,2)}</t>
  </si>
  <si>
    <t>{Bedroom_Type(1,3)}</t>
  </si>
  <si>
    <t>{Bedroom_Type(1,4)}</t>
  </si>
  <si>
    <t>{Bedroom_Type(1,5)}</t>
  </si>
  <si>
    <t>{BR_Under_bed(1,1)}</t>
  </si>
  <si>
    <t>{BR_Under_bed(1,2)}</t>
  </si>
  <si>
    <t>{BR_Under_bed(1,3)}</t>
  </si>
  <si>
    <t>{BR_Under_bed(1,4)}</t>
  </si>
  <si>
    <t>{BR_Under_bed(1,5)}</t>
  </si>
  <si>
    <t>{BR_Check(1,1)}</t>
  </si>
  <si>
    <t>{BR_Check(1,2)}</t>
  </si>
  <si>
    <t>{BR_Check(1,3)}</t>
  </si>
  <si>
    <t>{BR_Check(1,4)}</t>
  </si>
  <si>
    <t>{BR_Check(1,5)}</t>
  </si>
  <si>
    <t>{Living_Room(1)}</t>
  </si>
  <si>
    <t>{Kitchen_Dining(1)}</t>
  </si>
  <si>
    <t>{Bathroom_s(1)}</t>
  </si>
  <si>
    <t>{Hall_Closet_s(1)}</t>
  </si>
  <si>
    <t>{BR_Check(2,1)}</t>
  </si>
  <si>
    <t>{BR_Check(2,2)}</t>
  </si>
  <si>
    <t>{Bedroom_Type(2,1)}</t>
  </si>
  <si>
    <t>{Bedroom_Type(2,2)}</t>
  </si>
  <si>
    <t>{Bedroom_Type(2,3)}</t>
  </si>
  <si>
    <t>{BR_Check(2,3)}</t>
  </si>
  <si>
    <t>{BR_Under_bed(2,1)}</t>
  </si>
  <si>
    <t>{BR_Under_bed(2,2)}</t>
  </si>
  <si>
    <t>{BR_Under_bed(2,3)}</t>
  </si>
  <si>
    <t>{BR_Check(2,4)}</t>
  </si>
  <si>
    <t>{BR_Check(2,5)}</t>
  </si>
  <si>
    <t>{Bedroom_Type(2,4)}</t>
  </si>
  <si>
    <t>{Bedroom_Type(2,5)}</t>
  </si>
  <si>
    <t>{BR_Under_bed(2,4)}</t>
  </si>
  <si>
    <t>{BR_Under_bed(2,5)}</t>
  </si>
  <si>
    <t>{cluttered(2)}</t>
  </si>
  <si>
    <t>{Clutter_details(2)}</t>
  </si>
  <si>
    <t>{Living_Room(2)}</t>
  </si>
  <si>
    <t>{Kitchen_Dining(2)}</t>
  </si>
  <si>
    <t>{Bathroom_s(2)}</t>
  </si>
  <si>
    <t>{Hall_Closet_s(2)}</t>
  </si>
  <si>
    <t>{cluttered(3)}</t>
  </si>
  <si>
    <t>{Clutter_details(3)}</t>
  </si>
  <si>
    <t>{Living_Room(3)}</t>
  </si>
  <si>
    <t>{Kitchen_Dining(3)}</t>
  </si>
  <si>
    <t>{Bathroom_s(3)}</t>
  </si>
  <si>
    <t>{Hall_Closet_s(3)}</t>
  </si>
  <si>
    <t>{BR_Check(3,1)}</t>
  </si>
  <si>
    <t>{BR_Check(3,2)}</t>
  </si>
  <si>
    <t>{Bedroom_Type(3,1)}</t>
  </si>
  <si>
    <t>{Bedroom_Type(3,2)}</t>
  </si>
  <si>
    <t>{Bedroom_Type(3,3)}</t>
  </si>
  <si>
    <t>{BR_Check(3,3)}</t>
  </si>
  <si>
    <t>{BR_Under_bed(3,1)}</t>
  </si>
  <si>
    <t>{BR_Under_bed(3,2)}</t>
  </si>
  <si>
    <t>{BR_Under_bed(3,3)}</t>
  </si>
  <si>
    <t>{BR_Check(3,4)}</t>
  </si>
  <si>
    <t>{BR_Check(3,5)}</t>
  </si>
  <si>
    <t>{Bedroom_Type(3,4)}</t>
  </si>
  <si>
    <t>{Bedroom_Type(3,5)}</t>
  </si>
  <si>
    <t>{BR_Under_bed(3,4)}</t>
  </si>
  <si>
    <t>{BR_Under_bed(3,5)}</t>
  </si>
  <si>
    <t>{BR_Check(4,1)}</t>
  </si>
  <si>
    <t>{BR_Check(4,2)}</t>
  </si>
  <si>
    <t>{Bedroom_Type(4,1)}</t>
  </si>
  <si>
    <t>{Bedroom_Type(4,2)}</t>
  </si>
  <si>
    <t>{Bedroom_Type(4,3)}</t>
  </si>
  <si>
    <t>{BR_Check(4,3)}</t>
  </si>
  <si>
    <t>{BR_Under_bed(4,1)}</t>
  </si>
  <si>
    <t>{BR_Under_bed(4,2)}</t>
  </si>
  <si>
    <t>{BR_Under_bed(4,3)}</t>
  </si>
  <si>
    <t>{BR_Check(4,4)}</t>
  </si>
  <si>
    <t>{BR_Check(4,5)}</t>
  </si>
  <si>
    <t>{Bedroom_Type(4,4)}</t>
  </si>
  <si>
    <t>{Bedroom_Type(4,5)}</t>
  </si>
  <si>
    <t>{BR_Under_bed(4,4)}</t>
  </si>
  <si>
    <t>{BR_Under_bed(4,5)}</t>
  </si>
  <si>
    <t>{BR_Check(5,1)}</t>
  </si>
  <si>
    <t>{BR_Check(5,2)}</t>
  </si>
  <si>
    <t>{Bedroom_Type(5,1)}</t>
  </si>
  <si>
    <t>{Bedroom_Type(5,2)}</t>
  </si>
  <si>
    <t>{Bedroom_Type(5,3)}</t>
  </si>
  <si>
    <t>{BR_Check(5,3)}</t>
  </si>
  <si>
    <t>{BR_Under_bed(5,1)}</t>
  </si>
  <si>
    <t>{BR_Under_bed(5,2)}</t>
  </si>
  <si>
    <t>{BR_Under_bed(5,3)}</t>
  </si>
  <si>
    <t>{BR_Check(5,4)}</t>
  </si>
  <si>
    <t>{BR_Check(5,5)}</t>
  </si>
  <si>
    <t>{Bedroom_Type(5,4)}</t>
  </si>
  <si>
    <t>{Bedroom_Type(5,5)}</t>
  </si>
  <si>
    <t>{BR_Under_bed(5,4)}</t>
  </si>
  <si>
    <t>{BR_Under_bed(5,5)}</t>
  </si>
  <si>
    <t>{cluttered(5)}</t>
  </si>
  <si>
    <t>{Clutter_details(5)}</t>
  </si>
  <si>
    <t>{Living_Room(5)}</t>
  </si>
  <si>
    <t>{Kitchen_Dining(5)}</t>
  </si>
  <si>
    <t>{Bathroom_s(5)}</t>
  </si>
  <si>
    <t>{Hall_Closet_s(5)}</t>
  </si>
  <si>
    <t>{cluttered(6)}</t>
  </si>
  <si>
    <t>{Clutter_details(6)}</t>
  </si>
  <si>
    <t>{Living_Room(6)}</t>
  </si>
  <si>
    <t>{Kitchen_Dining(6)}</t>
  </si>
  <si>
    <t>{Bathroom_s(6)}</t>
  </si>
  <si>
    <t>{Hall_Closet_s(6)}</t>
  </si>
  <si>
    <t>{BR_Check(6,1)}</t>
  </si>
  <si>
    <t>{BR_Check(6,2)}</t>
  </si>
  <si>
    <t>{Bedroom_Type(6,1)}</t>
  </si>
  <si>
    <t>{Bedroom_Type(6,2)}</t>
  </si>
  <si>
    <t>{Bedroom_Type(6,3)}</t>
  </si>
  <si>
    <t>{BR_Check(6,3)}</t>
  </si>
  <si>
    <t>{BR_Under_bed(6,1)}</t>
  </si>
  <si>
    <t>{BR_Under_bed(6,2)}</t>
  </si>
  <si>
    <t>{BR_Under_bed(6,3)}</t>
  </si>
  <si>
    <t>{BR_Check(6,4)}</t>
  </si>
  <si>
    <t>{BR_Check(6,5)}</t>
  </si>
  <si>
    <t>{Bedroom_Type(6,4)}</t>
  </si>
  <si>
    <t>{Bedroom_Type(6,5)}</t>
  </si>
  <si>
    <t>{BR_Under_bed(6,4)}</t>
  </si>
  <si>
    <t>{BR_Under_bed(6,5)}</t>
  </si>
  <si>
    <t>{BR_Check(7,1)}</t>
  </si>
  <si>
    <t>{BR_Check(7,2)}</t>
  </si>
  <si>
    <t>{Bedroom_Type(7,1)}</t>
  </si>
  <si>
    <t>{Bedroom_Type(7,2)}</t>
  </si>
  <si>
    <t>{Bedroom_Type(7,3)}</t>
  </si>
  <si>
    <t>{BR_Check(7,3)}</t>
  </si>
  <si>
    <t>{BR_Under_bed(7,1)}</t>
  </si>
  <si>
    <t>{BR_Under_bed(7,2)}</t>
  </si>
  <si>
    <t>{BR_Under_bed(7,3)}</t>
  </si>
  <si>
    <t>{BR_Check(7,4)}</t>
  </si>
  <si>
    <t>{BR_Check(7,5)}</t>
  </si>
  <si>
    <t>{Bedroom_Type(7,4)}</t>
  </si>
  <si>
    <t>{Bedroom_Type(7,5)}</t>
  </si>
  <si>
    <t>{BR_Under_bed(7,4)}</t>
  </si>
  <si>
    <t>{BR_Under_bed(7,5)}</t>
  </si>
  <si>
    <t>{cluttered(7)}</t>
  </si>
  <si>
    <t>{Clutter_details(7)}</t>
  </si>
  <si>
    <t>{Living_Room(7)}</t>
  </si>
  <si>
    <t>{Kitchen_Dining(7)}</t>
  </si>
  <si>
    <t>{Bathroom_s(7)}</t>
  </si>
  <si>
    <t>{Hall_Closet_s(7)}</t>
  </si>
  <si>
    <t>{cluttered(8)}</t>
  </si>
  <si>
    <t>{Clutter_details(8)}</t>
  </si>
  <si>
    <t>{Living_Room(8)}</t>
  </si>
  <si>
    <t>{Kitchen_Dining(8)}</t>
  </si>
  <si>
    <t>{Bathroom_s(8)}</t>
  </si>
  <si>
    <t>{Hall_Closet_s(8)}</t>
  </si>
  <si>
    <t>{BR_Check(8,1)}</t>
  </si>
  <si>
    <t>{BR_Check(8,2)}</t>
  </si>
  <si>
    <t>{Bedroom_Type(8,1)}</t>
  </si>
  <si>
    <t>{Bedroom_Type(8,2)}</t>
  </si>
  <si>
    <t>{Bedroom_Type(8,3)}</t>
  </si>
  <si>
    <t>{BR_Check(8,3)}</t>
  </si>
  <si>
    <t>{BR_Under_bed(8,1)}</t>
  </si>
  <si>
    <t>{BR_Under_bed(8,2)}</t>
  </si>
  <si>
    <t>{BR_Under_bed(8,3)}</t>
  </si>
  <si>
    <t>{BR_Check(8,4)}</t>
  </si>
  <si>
    <t>{BR_Check(8,5)}</t>
  </si>
  <si>
    <t>{Bedroom_Type(8,4)}</t>
  </si>
  <si>
    <t>{Bedroom_Type(8,5)}</t>
  </si>
  <si>
    <t>{BR_Under_bed(8,4)}</t>
  </si>
  <si>
    <t>{BR_Under_bed(8,5)}</t>
  </si>
  <si>
    <t>{BR_Check(9,1)}</t>
  </si>
  <si>
    <t>{BR_Check(9,2)}</t>
  </si>
  <si>
    <t>{Bedroom_Type(9,1)}</t>
  </si>
  <si>
    <t>{Bedroom_Type(9,2)}</t>
  </si>
  <si>
    <t>{Bedroom_Type(9,3)}</t>
  </si>
  <si>
    <t>{BR_Check(9,3)}</t>
  </si>
  <si>
    <t>{BR_Under_bed(9,1)}</t>
  </si>
  <si>
    <t>{BR_Under_bed(9,2)}</t>
  </si>
  <si>
    <t>{BR_Under_bed(9,3)}</t>
  </si>
  <si>
    <t>{BR_Check(9,4)}</t>
  </si>
  <si>
    <t>{BR_Check(9,5)}</t>
  </si>
  <si>
    <t>{Bedroom_Type(9,4)}</t>
  </si>
  <si>
    <t>{Bedroom_Type(9,5)}</t>
  </si>
  <si>
    <t>{BR_Under_bed(9,4)}</t>
  </si>
  <si>
    <t>{BR_Under_bed(9,5)}</t>
  </si>
  <si>
    <t>{cluttered(9)}</t>
  </si>
  <si>
    <t>{Clutter_details(9)}</t>
  </si>
  <si>
    <t>{Living_Room(9)}</t>
  </si>
  <si>
    <t>{Kitchen_Dining(9)}</t>
  </si>
  <si>
    <t>{Bathroom_s(9)}</t>
  </si>
  <si>
    <t>{Hall_Closet_s(9)}</t>
  </si>
  <si>
    <t>{cluttered(10)}</t>
  </si>
  <si>
    <t>{Clutter_details(10)}</t>
  </si>
  <si>
    <t>{Living_Room(10)}</t>
  </si>
  <si>
    <t>{Kitchen_Dining(10)}</t>
  </si>
  <si>
    <t>{Bathroom_s(10)}</t>
  </si>
  <si>
    <t>{Hall_Closet_s(10)}</t>
  </si>
  <si>
    <t>{BR_Check(10,1)}</t>
  </si>
  <si>
    <t>{BR_Check(10,2)}</t>
  </si>
  <si>
    <t>{Bedroom_Type(10,1)}</t>
  </si>
  <si>
    <t>{Bedroom_Type(10,2)}</t>
  </si>
  <si>
    <t>{Bedroom_Type(10,3)}</t>
  </si>
  <si>
    <t>{BR_Check(10,3)}</t>
  </si>
  <si>
    <t>{BR_Under_bed(10,1)}</t>
  </si>
  <si>
    <t>{BR_Under_bed(10,2)}</t>
  </si>
  <si>
    <t>{BR_Under_bed(10,3)}</t>
  </si>
  <si>
    <t>{BR_Check(10,4)}</t>
  </si>
  <si>
    <t>{BR_Check(10,5)}</t>
  </si>
  <si>
    <t>{Bedroom_Type(10,4)}</t>
  </si>
  <si>
    <t>{Bedroom_Type(10,5)}</t>
  </si>
  <si>
    <t>{BR_Under_bed(10,4)}</t>
  </si>
  <si>
    <t>{BR_Under_bed(10,5)}</t>
  </si>
  <si>
    <t>{&lt;script&gt; if (value == "") {hideRow("466:516");}&lt;/script&gt;Unit(10)}</t>
  </si>
  <si>
    <t>{&lt;script&gt; if (value == "") {hideRow("415:465");}&lt;/script&gt;Unit(9)}</t>
  </si>
  <si>
    <t>{&lt;script&gt; if (value == "") {hideRow("364:414");}&lt;/script&gt;Unit(8)}</t>
  </si>
  <si>
    <t>{&lt;script&gt; if (value == "") {hideRow("313:363");}&lt;/script&gt;Unit(7)}</t>
  </si>
  <si>
    <t>{&lt;script&gt; if (value == "") {hideRow("262:312");}&lt;/script&gt;Unit(6)}</t>
  </si>
  <si>
    <t>{&lt;script&gt; if (value == "") {hideRow("211:261");}&lt;/script&gt;Unit(5)}</t>
  </si>
  <si>
    <t>{cluttered(4)}</t>
  </si>
  <si>
    <t>{Clutter_details(4)}</t>
  </si>
  <si>
    <t>{Living_Room(4)}</t>
  </si>
  <si>
    <t>{Kitchen_Dining(4)}</t>
  </si>
  <si>
    <t>{Bathroom_s(4)}</t>
  </si>
  <si>
    <t>{Hall_Closet_s(4)}</t>
  </si>
  <si>
    <t>{&lt;script&gt; if (value == "") {hideRow("160:210");}&lt;/script&gt;Unit(4)}</t>
  </si>
  <si>
    <t>{&lt;script&gt; if (value == "") {hideRow("109:159");}&lt;/script&gt;Unit(3)}</t>
  </si>
  <si>
    <t>{&lt;script&gt; if (value == "") {hideRow("58:108");}&lt;/script&gt;Unit(2)}</t>
  </si>
  <si>
    <t>{Completion_Time}</t>
  </si>
  <si>
    <t>{Pic1(1,1)}</t>
  </si>
  <si>
    <t>{pic2(1,2)}</t>
  </si>
  <si>
    <t>{Pic3(1,3)}</t>
  </si>
  <si>
    <t>{Pic1(2,1)}</t>
  </si>
  <si>
    <t>{pic2(2,2)}</t>
  </si>
  <si>
    <t>{Pic3(2,3)}</t>
  </si>
  <si>
    <t>{Pic1(3,1)}</t>
  </si>
  <si>
    <t>{pic2(3,2)}</t>
  </si>
  <si>
    <t>{Pic3(3,3)}</t>
  </si>
  <si>
    <t>{pic2(1,1)}</t>
  </si>
  <si>
    <t>{Pic3(1,1)}</t>
  </si>
  <si>
    <t>{Pic3(1,2)}</t>
  </si>
  <si>
    <t>{pic2(1,3)}</t>
  </si>
  <si>
    <t>{pic2(1,4)}</t>
  </si>
  <si>
    <t>{Pic3(1,4)}</t>
  </si>
  <si>
    <t>{Pic1(1,2)}</t>
  </si>
  <si>
    <t>{Pic1(1,3)}</t>
  </si>
  <si>
    <t>{Pic1(1,4)}</t>
  </si>
  <si>
    <t>{Pic1(2,2)}</t>
  </si>
  <si>
    <t>{Pic1(2,3)}</t>
  </si>
  <si>
    <t>{Pic1(2,4)}</t>
  </si>
  <si>
    <t>{pic2(2,1)}</t>
  </si>
  <si>
    <t>{pic2(2,3)}</t>
  </si>
  <si>
    <t>{pic2(2,4)}</t>
  </si>
  <si>
    <t>{Pic3(2,1)}</t>
  </si>
  <si>
    <t>{Pic3(2,2)}</t>
  </si>
  <si>
    <t>{Pic3(2,4)}</t>
  </si>
  <si>
    <t>{Pic1(3,2)}</t>
  </si>
  <si>
    <t>{Pic1(3,3)}</t>
  </si>
  <si>
    <t>{Pic1(3,4)}</t>
  </si>
  <si>
    <t>{pic2(3,1)}</t>
  </si>
  <si>
    <t>{pic2(3,3)}</t>
  </si>
  <si>
    <t>{pic2(3,4)}</t>
  </si>
  <si>
    <t>{Pic3(3,1)}</t>
  </si>
  <si>
    <t>{Pic3(3,2)}</t>
  </si>
  <si>
    <t>{Pic3(3,4)}</t>
  </si>
  <si>
    <t>{Pic1(4,1)}</t>
  </si>
  <si>
    <t>{Pic1(4,2)}</t>
  </si>
  <si>
    <t>{Pic1(4,3)}</t>
  </si>
  <si>
    <t>{Pic1(4,4)}</t>
  </si>
  <si>
    <t>{pic2(4,1)}</t>
  </si>
  <si>
    <t>{pic2(4,2)}</t>
  </si>
  <si>
    <t>{pic2(4,3)}</t>
  </si>
  <si>
    <t>{pic2(4,4)}</t>
  </si>
  <si>
    <t>{Pic3(4,1)}</t>
  </si>
  <si>
    <t>{Pic3(4,2)}</t>
  </si>
  <si>
    <t>{Pic3(4,3)}</t>
  </si>
  <si>
    <t>{Pic3(4,4)}</t>
  </si>
  <si>
    <t>{Pic1(5,1)}</t>
  </si>
  <si>
    <t>{Pic1(5,2)}</t>
  </si>
  <si>
    <t>{Pic1(5,3)}</t>
  </si>
  <si>
    <t>{Pic1(5,4)}</t>
  </si>
  <si>
    <t>{pic2(5,1)}</t>
  </si>
  <si>
    <t>{pic2(5,2)}</t>
  </si>
  <si>
    <t>{pic2(5,3)}</t>
  </si>
  <si>
    <t>{pic2(5,4)}</t>
  </si>
  <si>
    <t>{Pic3(5,1)}</t>
  </si>
  <si>
    <t>{Pic3(5,2)}</t>
  </si>
  <si>
    <t>{Pic3(5,3)}</t>
  </si>
  <si>
    <t>{Pic3(5,4)}</t>
  </si>
  <si>
    <t>{Pic1(6,1)}</t>
  </si>
  <si>
    <t>{Pic1(6,2)}</t>
  </si>
  <si>
    <t>{Pic1(6,3)}</t>
  </si>
  <si>
    <t>{Pic1(6,4)}</t>
  </si>
  <si>
    <t>{pic2(6,1)}</t>
  </si>
  <si>
    <t>{pic2(6,2)}</t>
  </si>
  <si>
    <t>{pic2(6,3)}</t>
  </si>
  <si>
    <t>{pic2(6,4)}</t>
  </si>
  <si>
    <t>{Pic3(6,1)}</t>
  </si>
  <si>
    <t>{Pic3(6,2)}</t>
  </si>
  <si>
    <t>{Pic3(6,3)}</t>
  </si>
  <si>
    <t>{Pic3(6,4)}</t>
  </si>
  <si>
    <t>{Pic1(7,1)}</t>
  </si>
  <si>
    <t>{Pic1(7,2)}</t>
  </si>
  <si>
    <t>{Pic1(7,3)}</t>
  </si>
  <si>
    <t>{Pic1(7,4)}</t>
  </si>
  <si>
    <t>{pic2(7,1)}</t>
  </si>
  <si>
    <t>{pic2(7,2)}</t>
  </si>
  <si>
    <t>{pic2(7,3)}</t>
  </si>
  <si>
    <t>{pic2(7,4)}</t>
  </si>
  <si>
    <t>{Pic3(7,1)}</t>
  </si>
  <si>
    <t>{Pic3(7,2)}</t>
  </si>
  <si>
    <t>{Pic3(7,3)}</t>
  </si>
  <si>
    <t>{Pic3(7,4)}</t>
  </si>
  <si>
    <t>{Pic1(8,1)}</t>
  </si>
  <si>
    <t>{Pic1(8,2)}</t>
  </si>
  <si>
    <t>{Pic1(8,3)}</t>
  </si>
  <si>
    <t>{Pic1(8,4)}</t>
  </si>
  <si>
    <t>{pic2(8,1)}</t>
  </si>
  <si>
    <t>{pic2(8,2)}</t>
  </si>
  <si>
    <t>{pic2(8,3)}</t>
  </si>
  <si>
    <t>{pic2(8,4)}</t>
  </si>
  <si>
    <t>{Pic3(8,1)}</t>
  </si>
  <si>
    <t>{Pic3(8,2)}</t>
  </si>
  <si>
    <t>{Pic3(8,3)}</t>
  </si>
  <si>
    <t>{Pic3(8,4)}</t>
  </si>
  <si>
    <t>{Pic1(9,1)}</t>
  </si>
  <si>
    <t>{Pic1(9,2)}</t>
  </si>
  <si>
    <t>{Pic1(9,3)}</t>
  </si>
  <si>
    <t>{Pic1(9,4)}</t>
  </si>
  <si>
    <t>{pic2(9,1)}</t>
  </si>
  <si>
    <t>{pic2(9,2)}</t>
  </si>
  <si>
    <t>{pic2(9,3)}</t>
  </si>
  <si>
    <t>{pic2(9,4)}</t>
  </si>
  <si>
    <t>{Pic3(9,1)}</t>
  </si>
  <si>
    <t>{Pic3(9,2)}</t>
  </si>
  <si>
    <t>{Pic3(9,3)}</t>
  </si>
  <si>
    <t>{Pic3(9,4)}</t>
  </si>
  <si>
    <t>{Pic1(10,1)}</t>
  </si>
  <si>
    <t>{Pic1(10,2)}</t>
  </si>
  <si>
    <t>{Pic1(10,3)}</t>
  </si>
  <si>
    <t>{Pic1(10,4)}</t>
  </si>
  <si>
    <t>{pic2(10,1)}</t>
  </si>
  <si>
    <t>{pic2(10,2)}</t>
  </si>
  <si>
    <t>{pic2(10,3)}</t>
  </si>
  <si>
    <t>{pic2(10,4)}</t>
  </si>
  <si>
    <t>{Pic3(10,1)}</t>
  </si>
  <si>
    <t>{Pic3(10,2)}</t>
  </si>
  <si>
    <t>{Pic3(10,3)}</t>
  </si>
  <si>
    <t>{Pic3(10,4)}</t>
  </si>
  <si>
    <t>02/22/2016</t>
  </si>
  <si>
    <t>The Village Apts.</t>
  </si>
  <si>
    <t>386 Raymond Rd.</t>
  </si>
  <si>
    <t>08:02 AM</t>
  </si>
  <si>
    <t>AJ Mack /Larry Hardin</t>
  </si>
  <si>
    <t>08:07 AM</t>
  </si>
  <si>
    <t>Sam</t>
  </si>
  <si>
    <t>43 C</t>
  </si>
  <si>
    <t>No</t>
  </si>
  <si>
    <t>Mattress,Box Spring,Bed Frame</t>
  </si>
  <si>
    <t>Bedroom 2</t>
  </si>
  <si>
    <t>No Activity Present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</si>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</sst>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m/d/yy;@"/>
  </numFmts>
  <fonts count="22"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</font>
    <font>
      <sz val="11"/>
      <color theme="0"/>
      <name val="Calibri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2"/>
      <color theme="1"/>
      <name val="Calibri"/>
      <family val="2"/>
    </font>
    <font>
      <b/>
      <i/>
      <sz val="14"/>
      <color theme="1"/>
      <name val="Calibri"/>
      <family val="2"/>
    </font>
    <font>
      <sz val="11"/>
      <name val="Calibri"/>
      <family val="2"/>
    </font>
    <font>
      <b/>
      <sz val="16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name val="Calibri"/>
      <sz val="11.0"/>
      <u val="single"/>
      <color indexed="12"/>
    </font>
    <font>
      <name val="Calibri"/>
      <sz val="11.0"/>
      <u val="single"/>
      <color indexed="12"/>
    </font>
    <font>
      <name val="Calibri"/>
      <sz val="11.0"/>
      <u val="single"/>
      <color indexed="12"/>
    </font>
    <font>
      <name val="Calibri"/>
      <sz val="11.0"/>
      <u val="single"/>
      <color indexed="12"/>
    </font>
    <font>
      <name val="Calibri"/>
      <sz val="11.0"/>
      <u val="single"/>
      <color indexed="1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0" fillId="0" borderId="0" xfId="0" applyFont="1"/>
    <xf numFmtId="0" fontId="0" fillId="0" borderId="0" xfId="0" applyFont="1" applyAlignment="1">
      <alignment vertical="top"/>
    </xf>
    <xf numFmtId="0" fontId="0" fillId="0" borderId="3" xfId="0" applyFont="1" applyBorder="1" applyAlignment="1"/>
    <xf numFmtId="0" fontId="0" fillId="0" borderId="3" xfId="0" applyFont="1" applyBorder="1" applyAlignment="1">
      <alignment vertical="top"/>
    </xf>
    <xf numFmtId="0" fontId="1" fillId="0" borderId="0" xfId="0" applyFont="1"/>
    <xf numFmtId="0" fontId="0" fillId="0" borderId="0" xfId="0" applyFont="1" applyBorder="1"/>
    <xf numFmtId="0" fontId="0" fillId="0" borderId="0" xfId="0" applyFont="1" applyFill="1" applyBorder="1" applyAlignment="1">
      <alignment horizontal="left" vertical="top"/>
    </xf>
    <xf numFmtId="0" fontId="0" fillId="0" borderId="0" xfId="0" applyFont="1" applyFill="1" applyBorder="1" applyAlignment="1">
      <alignment vertical="top"/>
    </xf>
    <xf numFmtId="0" fontId="0" fillId="0" borderId="0" xfId="0" applyAlignment="1"/>
    <xf numFmtId="0" fontId="6" fillId="0" borderId="0" xfId="0" applyFont="1" applyAlignment="1">
      <alignment vertical="center"/>
    </xf>
    <xf numFmtId="0" fontId="0" fillId="0" borderId="0" xfId="0" applyBorder="1" applyAlignment="1"/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5" fillId="0" borderId="0" xfId="0" applyFont="1" applyAlignment="1"/>
    <xf numFmtId="0" fontId="0" fillId="0" borderId="0" xfId="0" applyFont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7" xfId="0" applyFill="1" applyBorder="1" applyAlignment="1"/>
    <xf numFmtId="0" fontId="0" fillId="0" borderId="0" xfId="0" applyFill="1" applyBorder="1" applyAlignment="1"/>
    <xf numFmtId="0" fontId="0" fillId="0" borderId="0" xfId="0" applyFill="1" applyBorder="1"/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vertical="center" shrinkToFit="1"/>
    </xf>
    <xf numFmtId="0" fontId="3" fillId="0" borderId="0" xfId="0" applyFont="1" applyFill="1"/>
    <xf numFmtId="0" fontId="0" fillId="0" borderId="3" xfId="0" applyFont="1" applyBorder="1" applyAlignment="1">
      <alignment vertical="top" wrapText="1"/>
    </xf>
    <xf numFmtId="0" fontId="2" fillId="2" borderId="3" xfId="0" applyFont="1" applyFill="1" applyBorder="1" applyAlignment="1"/>
    <xf numFmtId="0" fontId="1" fillId="2" borderId="3" xfId="0" applyFont="1" applyFill="1" applyBorder="1" applyAlignment="1"/>
    <xf numFmtId="0" fontId="0" fillId="0" borderId="0" xfId="0" applyFont="1" applyBorder="1" applyAlignment="1"/>
    <xf numFmtId="0" fontId="9" fillId="0" borderId="0" xfId="0" applyFont="1" applyBorder="1" applyAlignment="1">
      <alignment vertical="top" wrapText="1"/>
    </xf>
    <xf numFmtId="0" fontId="9" fillId="0" borderId="15" xfId="0" applyFont="1" applyBorder="1" applyAlignment="1"/>
    <xf numFmtId="0" fontId="0" fillId="0" borderId="8" xfId="0" applyFont="1" applyBorder="1" applyAlignment="1"/>
    <xf numFmtId="0" fontId="0" fillId="0" borderId="8" xfId="0" applyFont="1" applyBorder="1"/>
    <xf numFmtId="0" fontId="9" fillId="0" borderId="6" xfId="0" applyFont="1" applyBorder="1" applyAlignment="1"/>
    <xf numFmtId="0" fontId="9" fillId="0" borderId="0" xfId="0" applyFont="1" applyBorder="1" applyAlignment="1"/>
    <xf numFmtId="0" fontId="9" fillId="0" borderId="0" xfId="0" applyFont="1" applyBorder="1" applyAlignment="1"/>
    <xf numFmtId="0" fontId="12" fillId="0" borderId="0" xfId="0" applyFont="1" applyFill="1"/>
    <xf numFmtId="0" fontId="5" fillId="0" borderId="0" xfId="0" applyFont="1" applyBorder="1" applyAlignment="1">
      <alignment vertical="top" wrapText="1"/>
    </xf>
    <xf numFmtId="0" fontId="5" fillId="0" borderId="13" xfId="0" applyFont="1" applyBorder="1" applyAlignment="1">
      <alignment vertical="top" wrapText="1"/>
    </xf>
    <xf numFmtId="0" fontId="9" fillId="3" borderId="17" xfId="0" applyFont="1" applyFill="1" applyBorder="1"/>
    <xf numFmtId="0" fontId="9" fillId="3" borderId="22" xfId="0" applyFont="1" applyFill="1" applyBorder="1"/>
    <xf numFmtId="0" fontId="9" fillId="3" borderId="23" xfId="0" applyFont="1" applyFill="1" applyBorder="1"/>
    <xf numFmtId="0" fontId="9" fillId="0" borderId="0" xfId="0" applyFont="1"/>
    <xf numFmtId="0" fontId="9" fillId="0" borderId="0" xfId="0" applyFont="1" applyBorder="1"/>
    <xf numFmtId="0" fontId="0" fillId="0" borderId="0" xfId="0" applyBorder="1"/>
    <xf numFmtId="0" fontId="0" fillId="3" borderId="19" xfId="0" applyFill="1" applyBorder="1"/>
    <xf numFmtId="0" fontId="0" fillId="3" borderId="21" xfId="0" applyFill="1" applyBorder="1"/>
    <xf numFmtId="0" fontId="0" fillId="3" borderId="24" xfId="0" applyFill="1" applyBorder="1"/>
    <xf numFmtId="0" fontId="14" fillId="0" borderId="0" xfId="0" applyFont="1" applyBorder="1" applyAlignment="1"/>
    <xf numFmtId="0" fontId="14" fillId="0" borderId="0" xfId="0" applyFont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0" fillId="3" borderId="23" xfId="0" applyFill="1" applyBorder="1"/>
    <xf numFmtId="0" fontId="0" fillId="0" borderId="0" xfId="0" applyFill="1" applyBorder="1" applyAlignment="1">
      <alignment shrinkToFit="1"/>
    </xf>
    <xf numFmtId="0" fontId="9" fillId="0" borderId="2" xfId="0" applyFont="1" applyBorder="1" applyAlignment="1">
      <alignment horizontal="center"/>
    </xf>
    <xf numFmtId="0" fontId="9" fillId="0" borderId="0" xfId="0" applyFont="1" applyBorder="1" applyAlignment="1">
      <alignment vertical="top" wrapText="1"/>
    </xf>
    <xf numFmtId="0" fontId="9" fillId="0" borderId="6" xfId="0" applyFont="1" applyBorder="1" applyAlignment="1"/>
    <xf numFmtId="0" fontId="0" fillId="0" borderId="0" xfId="0" applyFont="1" applyBorder="1"/>
    <xf numFmtId="0" fontId="15" fillId="0" borderId="25" xfId="0" applyFont="1" applyBorder="1"/>
    <xf numFmtId="0" fontId="0" fillId="0" borderId="0" xfId="0" applyFont="1" applyFill="1" applyBorder="1" applyAlignment="1">
      <alignment vertical="top"/>
    </xf>
    <xf numFmtId="0" fontId="0" fillId="0" borderId="0" xfId="0" applyFont="1" applyFill="1" applyBorder="1" applyAlignment="1">
      <alignment vertical="top"/>
    </xf>
    <xf numFmtId="0" fontId="2" fillId="2" borderId="4" xfId="0" applyFont="1" applyFill="1" applyBorder="1"/>
    <xf numFmtId="0" fontId="2" fillId="2" borderId="2" xfId="0" applyFont="1" applyFill="1" applyBorder="1"/>
    <xf numFmtId="0" fontId="2" fillId="2" borderId="5" xfId="0" applyFont="1" applyFill="1" applyBorder="1"/>
    <xf numFmtId="0" fontId="9" fillId="0" borderId="6" xfId="0" applyFont="1" applyBorder="1" applyAlignment="1">
      <alignment vertical="top" wrapText="1"/>
    </xf>
    <xf numFmtId="0" fontId="9" fillId="0" borderId="7" xfId="0" applyFont="1" applyBorder="1" applyAlignment="1">
      <alignment vertical="top" wrapText="1"/>
    </xf>
    <xf numFmtId="0" fontId="9" fillId="0" borderId="8" xfId="0" applyFont="1" applyBorder="1" applyAlignment="1">
      <alignment vertical="top" wrapText="1"/>
    </xf>
    <xf numFmtId="0" fontId="9" fillId="0" borderId="9" xfId="0" applyFont="1" applyBorder="1" applyAlignment="1">
      <alignment vertical="top" wrapText="1"/>
    </xf>
    <xf numFmtId="0" fontId="9" fillId="0" borderId="0" xfId="0" applyFont="1" applyBorder="1" applyAlignment="1">
      <alignment vertical="top" wrapText="1"/>
    </xf>
    <xf numFmtId="0" fontId="9" fillId="0" borderId="10" xfId="0" applyFont="1" applyBorder="1" applyAlignment="1">
      <alignment vertical="top" wrapText="1"/>
    </xf>
    <xf numFmtId="0" fontId="9" fillId="0" borderId="11" xfId="0" applyFont="1" applyBorder="1" applyAlignment="1">
      <alignment vertical="top" wrapText="1"/>
    </xf>
    <xf numFmtId="0" fontId="9" fillId="0" borderId="1" xfId="0" applyFont="1" applyBorder="1" applyAlignment="1">
      <alignment vertical="top" wrapText="1"/>
    </xf>
    <xf numFmtId="0" fontId="9" fillId="0" borderId="12" xfId="0" applyFont="1" applyBorder="1" applyAlignment="1">
      <alignment vertical="top" wrapText="1"/>
    </xf>
    <xf numFmtId="0" fontId="9" fillId="0" borderId="6" xfId="0" applyFont="1" applyBorder="1" applyAlignment="1"/>
    <xf numFmtId="0" fontId="9" fillId="0" borderId="7" xfId="0" applyFont="1" applyBorder="1" applyAlignment="1"/>
    <xf numFmtId="0" fontId="0" fillId="0" borderId="2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1" fillId="0" borderId="9" xfId="0" applyFont="1" applyBorder="1" applyAlignment="1">
      <alignment shrinkToFit="1"/>
    </xf>
    <xf numFmtId="0" fontId="1" fillId="0" borderId="0" xfId="0" applyFont="1" applyBorder="1" applyAlignment="1">
      <alignment shrinkToFit="1"/>
    </xf>
    <xf numFmtId="0" fontId="1" fillId="0" borderId="10" xfId="0" applyFont="1" applyBorder="1" applyAlignment="1">
      <alignment shrinkToFit="1"/>
    </xf>
    <xf numFmtId="0" fontId="0" fillId="2" borderId="4" xfId="0" applyFont="1" applyFill="1" applyBorder="1"/>
    <xf numFmtId="0" fontId="1" fillId="2" borderId="2" xfId="0" applyFont="1" applyFill="1" applyBorder="1"/>
    <xf numFmtId="0" fontId="1" fillId="2" borderId="5" xfId="0" applyFont="1" applyFill="1" applyBorder="1"/>
    <xf numFmtId="0" fontId="9" fillId="0" borderId="0" xfId="0" applyFont="1" applyAlignment="1">
      <alignment vertical="top" wrapText="1"/>
    </xf>
    <xf numFmtId="0" fontId="0" fillId="0" borderId="5" xfId="0" applyFont="1" applyBorder="1" applyAlignment="1">
      <alignment horizontal="center"/>
    </xf>
    <xf numFmtId="0" fontId="1" fillId="0" borderId="0" xfId="0" applyFont="1" applyAlignment="1">
      <alignment horizontal="right"/>
    </xf>
    <xf numFmtId="0" fontId="0" fillId="0" borderId="1" xfId="0" applyFont="1" applyBorder="1" applyAlignment="1"/>
    <xf numFmtId="0" fontId="11" fillId="0" borderId="0" xfId="0" applyFont="1" applyAlignment="1">
      <alignment vertical="top"/>
    </xf>
    <xf numFmtId="0" fontId="10" fillId="0" borderId="0" xfId="0" applyFont="1" applyAlignment="1">
      <alignment horizontal="right" vertical="top"/>
    </xf>
    <xf numFmtId="0" fontId="1" fillId="0" borderId="0" xfId="0" applyFont="1"/>
    <xf numFmtId="164" fontId="0" fillId="0" borderId="1" xfId="0" applyNumberFormat="1" applyFont="1" applyBorder="1"/>
    <xf numFmtId="0" fontId="1" fillId="2" borderId="4" xfId="0" applyFont="1" applyFill="1" applyBorder="1"/>
    <xf numFmtId="0" fontId="1" fillId="0" borderId="0" xfId="0" applyFont="1" applyBorder="1"/>
    <xf numFmtId="0" fontId="1" fillId="0" borderId="0" xfId="0" applyFont="1" applyFill="1" applyBorder="1" applyAlignment="1"/>
    <xf numFmtId="0" fontId="0" fillId="0" borderId="2" xfId="0" applyFont="1" applyFill="1" applyBorder="1"/>
    <xf numFmtId="0" fontId="0" fillId="0" borderId="2" xfId="0" applyFont="1" applyFill="1" applyBorder="1" applyAlignment="1"/>
    <xf numFmtId="0" fontId="0" fillId="0" borderId="2" xfId="0" applyFont="1" applyBorder="1" applyAlignment="1"/>
    <xf numFmtId="165" fontId="0" fillId="0" borderId="1" xfId="0" applyNumberFormat="1" applyFont="1" applyBorder="1"/>
    <xf numFmtId="0" fontId="0" fillId="0" borderId="1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shrinkToFit="1"/>
    </xf>
    <xf numFmtId="0" fontId="0" fillId="0" borderId="0" xfId="0" applyFill="1" applyAlignment="1">
      <alignment horizontal="left"/>
    </xf>
    <xf numFmtId="0" fontId="9" fillId="0" borderId="0" xfId="0" applyFont="1" applyFill="1" applyAlignment="1">
      <alignment horizontal="left" vertical="top" wrapText="1"/>
    </xf>
    <xf numFmtId="0" fontId="0" fillId="0" borderId="0" xfId="0" applyFill="1" applyBorder="1" applyAlignment="1">
      <alignment horizontal="center" vertical="center" shrinkToFit="1"/>
    </xf>
    <xf numFmtId="0" fontId="5" fillId="0" borderId="0" xfId="0" applyFont="1" applyBorder="1" applyAlignment="1">
      <alignment vertical="top" wrapText="1"/>
    </xf>
    <xf numFmtId="0" fontId="4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8" fillId="0" borderId="0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center"/>
    </xf>
    <xf numFmtId="0" fontId="0" fillId="0" borderId="2" xfId="0" applyFill="1" applyBorder="1" applyAlignment="1">
      <alignment shrinkToFit="1"/>
    </xf>
    <xf numFmtId="0" fontId="0" fillId="0" borderId="2" xfId="0" applyFill="1" applyBorder="1" applyAlignment="1">
      <alignment horizontal="left" indent="1" shrinkToFit="1"/>
    </xf>
    <xf numFmtId="0" fontId="0" fillId="0" borderId="2" xfId="0" applyFill="1" applyBorder="1" applyAlignment="1">
      <alignment horizontal="center"/>
    </xf>
    <xf numFmtId="0" fontId="0" fillId="0" borderId="5" xfId="0" applyFill="1" applyBorder="1" applyAlignment="1">
      <alignment horizontal="left" shrinkToFit="1"/>
    </xf>
    <xf numFmtId="0" fontId="0" fillId="0" borderId="3" xfId="0" applyFill="1" applyBorder="1" applyAlignment="1">
      <alignment horizontal="left" shrinkToFit="1"/>
    </xf>
    <xf numFmtId="0" fontId="0" fillId="0" borderId="4" xfId="0" applyFill="1" applyBorder="1" applyAlignment="1">
      <alignment horizontal="left" shrinkToFit="1"/>
    </xf>
    <xf numFmtId="0" fontId="0" fillId="0" borderId="0" xfId="0" applyFill="1" applyBorder="1" applyAlignment="1">
      <alignment horizontal="right"/>
    </xf>
    <xf numFmtId="0" fontId="0" fillId="0" borderId="12" xfId="0" applyFill="1" applyBorder="1" applyAlignment="1">
      <alignment horizontal="left" shrinkToFit="1"/>
    </xf>
    <xf numFmtId="0" fontId="0" fillId="0" borderId="14" xfId="0" applyFill="1" applyBorder="1" applyAlignment="1">
      <alignment horizontal="left" shrinkToFit="1"/>
    </xf>
    <xf numFmtId="0" fontId="0" fillId="0" borderId="11" xfId="0" applyFill="1" applyBorder="1" applyAlignment="1">
      <alignment horizontal="left" shrinkToFit="1"/>
    </xf>
    <xf numFmtId="0" fontId="0" fillId="0" borderId="5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Fill="1" applyBorder="1" applyAlignment="1">
      <alignment horizontal="left" indent="1" shrinkToFit="1"/>
    </xf>
    <xf numFmtId="0" fontId="0" fillId="0" borderId="12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Font="1" applyAlignment="1">
      <alignment horizontal="right"/>
    </xf>
    <xf numFmtId="0" fontId="9" fillId="0" borderId="0" xfId="0" applyFont="1" applyFill="1" applyBorder="1" applyAlignment="1">
      <alignment horizontal="left" vertical="top"/>
    </xf>
    <xf numFmtId="0" fontId="0" fillId="0" borderId="1" xfId="0" applyFill="1" applyBorder="1" applyAlignment="1">
      <alignment horizontal="left"/>
    </xf>
    <xf numFmtId="0" fontId="0" fillId="0" borderId="1" xfId="0" applyFont="1" applyFill="1" applyBorder="1" applyAlignment="1">
      <alignment horizontal="left" shrinkToFit="1"/>
    </xf>
    <xf numFmtId="0" fontId="7" fillId="0" borderId="0" xfId="0" applyFont="1" applyFill="1" applyAlignment="1">
      <alignment horizontal="center"/>
    </xf>
    <xf numFmtId="0" fontId="9" fillId="0" borderId="7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9" fillId="0" borderId="1" xfId="0" applyFont="1" applyBorder="1" applyAlignment="1">
      <alignment horizontal="left"/>
    </xf>
    <xf numFmtId="0" fontId="14" fillId="0" borderId="0" xfId="0" applyFont="1"/>
    <xf numFmtId="0" fontId="9" fillId="0" borderId="0" xfId="0" applyFont="1" applyAlignment="1">
      <alignment horizontal="right"/>
    </xf>
    <xf numFmtId="0" fontId="9" fillId="0" borderId="1" xfId="0" applyFont="1" applyBorder="1" applyAlignment="1"/>
    <xf numFmtId="0" fontId="14" fillId="0" borderId="0" xfId="0" applyFont="1" applyAlignment="1"/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 applyAlignment="1">
      <alignment horizontal="center"/>
    </xf>
    <xf numFmtId="0" fontId="9" fillId="0" borderId="0" xfId="0" applyFont="1" applyAlignment="1">
      <alignment horizontal="left" vertical="top" wrapText="1"/>
    </xf>
    <xf numFmtId="0" fontId="9" fillId="0" borderId="1" xfId="0" applyFont="1" applyBorder="1"/>
    <xf numFmtId="164" fontId="9" fillId="3" borderId="18" xfId="0" applyNumberFormat="1" applyFont="1" applyFill="1" applyBorder="1" applyAlignment="1">
      <alignment horizontal="left"/>
    </xf>
    <xf numFmtId="0" fontId="9" fillId="0" borderId="1" xfId="0" applyFont="1" applyBorder="1" applyAlignment="1">
      <alignment shrinkToFit="1"/>
    </xf>
    <xf numFmtId="0" fontId="9" fillId="0" borderId="2" xfId="0" applyFont="1" applyBorder="1" applyAlignment="1">
      <alignment horizontal="left"/>
    </xf>
    <xf numFmtId="0" fontId="9" fillId="3" borderId="1" xfId="0" applyFont="1" applyFill="1" applyBorder="1" applyAlignment="1">
      <alignment shrinkToFit="1"/>
    </xf>
    <xf numFmtId="0" fontId="9" fillId="3" borderId="0" xfId="0" applyFont="1" applyFill="1" applyBorder="1" applyAlignment="1">
      <alignment horizontal="left" vertical="top" wrapText="1"/>
    </xf>
    <xf numFmtId="0" fontId="9" fillId="3" borderId="2" xfId="0" applyFont="1" applyFill="1" applyBorder="1" applyAlignment="1">
      <alignment horizontal="center"/>
    </xf>
    <xf numFmtId="0" fontId="14" fillId="3" borderId="7" xfId="0" applyFont="1" applyFill="1" applyBorder="1" applyAlignment="1">
      <alignment horizontal="right"/>
    </xf>
    <xf numFmtId="0" fontId="14" fillId="3" borderId="16" xfId="0" applyFont="1" applyFill="1" applyBorder="1" applyAlignment="1">
      <alignment horizontal="left" indent="1"/>
    </xf>
    <xf numFmtId="0" fontId="14" fillId="3" borderId="17" xfId="0" applyFont="1" applyFill="1" applyBorder="1" applyAlignment="1">
      <alignment horizontal="left" indent="1"/>
    </xf>
    <xf numFmtId="165" fontId="9" fillId="3" borderId="18" xfId="0" applyNumberFormat="1" applyFont="1" applyFill="1" applyBorder="1" applyAlignment="1">
      <alignment horizontal="center"/>
    </xf>
    <xf numFmtId="0" fontId="14" fillId="3" borderId="17" xfId="0" applyFont="1" applyFill="1" applyBorder="1" applyAlignment="1">
      <alignment horizontal="right"/>
    </xf>
    <xf numFmtId="164" fontId="9" fillId="3" borderId="18" xfId="0" applyNumberFormat="1" applyFont="1" applyFill="1" applyBorder="1" applyAlignment="1">
      <alignment horizontal="center"/>
    </xf>
    <xf numFmtId="0" fontId="14" fillId="3" borderId="20" xfId="0" applyFont="1" applyFill="1" applyBorder="1" applyAlignment="1">
      <alignment horizontal="left" indent="1"/>
    </xf>
    <xf numFmtId="0" fontId="14" fillId="3" borderId="0" xfId="0" applyFont="1" applyFill="1" applyBorder="1" applyAlignment="1">
      <alignment horizontal="left" indent="1"/>
    </xf>
    <xf numFmtId="0" fontId="9" fillId="3" borderId="1" xfId="0" applyFont="1" applyFill="1" applyBorder="1" applyAlignment="1">
      <alignment horizontal="left" shrinkToFit="1"/>
    </xf>
    <xf numFmtId="0" fontId="14" fillId="3" borderId="7" xfId="0" applyFont="1" applyFill="1" applyBorder="1" applyAlignment="1">
      <alignment horizontal="center"/>
    </xf>
    <xf numFmtId="0" fontId="14" fillId="3" borderId="20" xfId="0" applyFont="1" applyFill="1" applyBorder="1" applyAlignment="1">
      <alignment horizontal="left" wrapText="1" indent="1"/>
    </xf>
    <xf numFmtId="0" fontId="14" fillId="3" borderId="0" xfId="0" applyFont="1" applyFill="1" applyBorder="1" applyAlignment="1">
      <alignment horizontal="left" wrapText="1" indent="1"/>
    </xf>
    <xf numFmtId="0" fontId="9" fillId="0" borderId="0" xfId="0" applyFont="1" applyAlignment="1"/>
    <xf numFmtId="0" fontId="14" fillId="0" borderId="0" xfId="0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0" fontId="9" fillId="0" borderId="2" xfId="0" applyFont="1" applyBorder="1" applyAlignment="1"/>
    <xf numFmtId="0" fontId="9" fillId="0" borderId="2" xfId="0" applyFont="1" applyBorder="1" applyAlignment="1">
      <alignment horizontal="center"/>
    </xf>
    <xf numFmtId="0" fontId="0" fillId="0" borderId="1" xfId="0" applyBorder="1"/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Border="1" applyAlignment="1">
      <alignment horizontal="left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 applyAlignment="1">
      <alignment horizontal="center" vertical="center"/>
    </xf>
    <xf numFmtId="0" fontId="16" fillId="0" borderId="3" xfId="0" applyFont="1" applyFill="1" applyBorder="1" applyAlignment="1">
      <alignment horizontal="left" vertical="center"/>
    </xf>
    <xf numFmtId="0" fontId="0" fillId="0" borderId="3" xfId="0" applyBorder="1" applyAlignment="1"/>
    <xf numFmtId="0" fontId="0" fillId="4" borderId="0" xfId="0" applyFill="1" applyAlignment="1"/>
    <xf numFmtId="0" fontId="17" fillId="0" borderId="0" xfId="0" applyFont="true"/>
    <xf numFmtId="0" fontId="18" fillId="0" borderId="0" xfId="0" applyFont="true"/>
    <xf numFmtId="0" fontId="19" fillId="0" borderId="0" xfId="0" applyFont="true"/>
    <xf numFmtId="0" fontId="20" fillId="0" borderId="0" xfId="0" applyFont="true"/>
    <xf numFmtId="0" fontId="21" fillId="0" borderId="0" xfId="0" applyFont="true"/>
  </cellXfs>
  <cellStyles count="1">
    <cellStyle name="Normal" xfId="0" builtinId="0"/>
  </cellStyles>
  <dxfs count="43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drawings/_rels/drawing1.xml.rels><?xml version="1.0" encoding="UTF-8"?>

<Relationships xmlns="http://schemas.openxmlformats.org/package/2006/relationships">
  <Relationship Id="rId1" Type="http://schemas.openxmlformats.org/officeDocument/2006/relationships/image" Target="../media/image1.png"/>
</Relationships>
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76200</xdr:colOff>
      <xdr:row>0</xdr:row>
      <xdr:rowOff>19050</xdr:rowOff>
    </xdr:from>
    <xdr:ext cx="1114425" cy="723900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19800" y="32823150"/>
          <a:ext cx="111442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</Relationships>

</file>

<file path=xl/worksheets/_rels/sheet2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2.bin"/>
  <Relationship Id="rId2" Type="http://schemas.openxmlformats.org/officeDocument/2006/relationships/drawing" Target="../drawings/drawing1.xml"/>
</Relationships>

</file>

<file path=xl/worksheets/_rels/sheet3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3.bin"/>
</Relationships>

</file>

<file path=xl/worksheets/_rels/sheet4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4.bin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AN516"/>
  <sheetViews>
    <sheetView showGridLines="0" tabSelected="1" workbookViewId="0">
      <selection activeCell="AL8" sqref="AL8"/>
    </sheetView>
  </sheetViews>
  <sheetFormatPr defaultColWidth="3.7109375" defaultRowHeight="15" x14ac:dyDescent="0.25"/>
  <cols>
    <col min="1" max="1" customWidth="true" width="1.7109375" collapsed="false"/>
    <col min="31" max="31" customWidth="true" width="1.7109375" collapsed="false"/>
    <col min="32" max="32" customWidth="true" width="5.5703125" collapsed="false"/>
    <col min="33" max="33" customWidth="true" hidden="true" width="24.85546875" collapsed="false"/>
    <col min="34" max="34" customWidth="true" hidden="true" width="19.42578125" collapsed="false"/>
    <col min="39" max="39" customWidth="true" width="7.140625" collapsed="false"/>
  </cols>
  <sheetData>
    <row r="1" spans="2:40" s="1" customFormat="1" ht="22.5" customHeight="1" x14ac:dyDescent="0.25">
      <c r="B1" s="87" t="s">
        <v>48</v>
      </c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8" t="s">
        <v>222</v>
      </c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</row>
    <row r="2" spans="2:40" s="1" customFormat="1" ht="15" customHeight="1" x14ac:dyDescent="0.25">
      <c r="B2" s="92" t="s">
        <v>135</v>
      </c>
      <c r="C2" s="92"/>
      <c r="D2" s="92"/>
      <c r="E2" s="92"/>
      <c r="F2" s="86" t="str">
        <f>AJ4</f>
        <v>{Customer_Name}</v>
      </c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V2" s="89" t="s">
        <v>1</v>
      </c>
      <c r="W2" s="89"/>
      <c r="X2" s="97" t="s">
        <v>565</v>
      </c>
      <c r="Y2" s="97"/>
      <c r="Z2" s="97"/>
      <c r="AA2" s="97"/>
      <c r="AB2" s="97"/>
      <c r="AC2" s="97"/>
      <c r="AD2" s="97"/>
      <c r="AJ2" s="182" t="s">
        <v>566</v>
      </c>
      <c r="AK2" s="183" t="n">
        <f>LEN(AJ2)</f>
        <v>17.0</v>
      </c>
      <c r="AL2" s="183" t="e">
        <f>FIND("(",AJ2)-1</f>
        <v>#VALUE!</v>
      </c>
      <c r="AM2" s="183" t="e">
        <f>LEFT(AJ2,AL2)</f>
        <v>#VALUE!</v>
      </c>
      <c r="AN2" s="183" t="e">
        <f>IF(ISNUMBER(SEARCH("*(NHA*",AJ2)),AJ2,AM2)</f>
        <v>#VALUE!</v>
      </c>
    </row>
    <row r="3" spans="2:40" s="1" customFormat="1" x14ac:dyDescent="0.25">
      <c r="B3" s="92" t="s">
        <v>8</v>
      </c>
      <c r="C3" s="92"/>
      <c r="D3" s="92"/>
      <c r="E3" s="92"/>
      <c r="F3" s="96" t="s">
        <v>567</v>
      </c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85" t="s">
        <v>2</v>
      </c>
      <c r="V3" s="85"/>
      <c r="W3" s="85"/>
      <c r="X3" s="90" t="s">
        <v>568</v>
      </c>
      <c r="Y3" s="90"/>
      <c r="Z3" s="90"/>
      <c r="AA3" s="90"/>
      <c r="AB3" s="90"/>
      <c r="AC3" s="90"/>
      <c r="AD3" s="90"/>
      <c r="AJ3" s="9" t="e">
        <f>IF(ISNUMBER(SEARCH("*(NHA*",#REF!)),AJ2,IF(ISNUMBER(SEARCH("*(NJT*",AJ2)),AJ2,AN2))</f>
        <v>#VALUE!</v>
      </c>
      <c r="AK3" s="9"/>
      <c r="AL3" s="9"/>
      <c r="AM3" s="9"/>
      <c r="AN3" s="9"/>
    </row>
    <row r="4" spans="2:40" s="1" customFormat="1" x14ac:dyDescent="0.25">
      <c r="B4" s="92" t="s">
        <v>0</v>
      </c>
      <c r="C4" s="92"/>
      <c r="D4" s="92"/>
      <c r="E4" s="92"/>
      <c r="F4" s="94" t="s">
        <v>569</v>
      </c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85" t="s">
        <v>3</v>
      </c>
      <c r="V4" s="85"/>
      <c r="W4" s="85"/>
      <c r="X4" s="90" t="s">
        <v>570</v>
      </c>
      <c r="Y4" s="90"/>
      <c r="Z4" s="90"/>
      <c r="AA4" s="90"/>
      <c r="AB4" s="90"/>
      <c r="AC4" s="90"/>
      <c r="AD4" s="90"/>
      <c r="AJ4" s="184" t="str">
        <f>IFERROR(AJ3,AJ2)</f>
        <v>{Customer_Name}</v>
      </c>
      <c r="AK4" s="9"/>
      <c r="AL4" s="9"/>
      <c r="AM4" s="9"/>
      <c r="AN4" s="9"/>
    </row>
    <row r="5" spans="2:40" s="1" customFormat="1" x14ac:dyDescent="0.25">
      <c r="B5" s="93" t="s">
        <v>175</v>
      </c>
      <c r="C5" s="93"/>
      <c r="D5" s="93"/>
      <c r="E5" s="93"/>
      <c r="F5" s="95" t="s">
        <v>571</v>
      </c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</row>
    <row r="6" spans="2:40" s="1" customFormat="1" x14ac:dyDescent="0.25">
      <c r="B6" s="56"/>
      <c r="C6" s="56"/>
      <c r="D6" s="56"/>
      <c r="E6" s="56"/>
      <c r="S6" s="6"/>
    </row>
    <row r="7" spans="2:40" s="1" customFormat="1" x14ac:dyDescent="0.25">
      <c r="B7" s="85" t="s">
        <v>223</v>
      </c>
      <c r="C7" s="85"/>
      <c r="D7" s="85"/>
      <c r="E7" s="85"/>
      <c r="F7" s="86" t="s">
        <v>572</v>
      </c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5" t="s">
        <v>41</v>
      </c>
      <c r="U7" s="85"/>
      <c r="V7" s="85"/>
      <c r="W7" s="85"/>
      <c r="X7" s="85"/>
      <c r="Y7" s="85"/>
      <c r="Z7" s="85"/>
      <c r="AA7" s="85"/>
      <c r="AB7" s="85"/>
      <c r="AC7" s="86" t="s">
        <v>573</v>
      </c>
      <c r="AD7" s="86"/>
    </row>
    <row r="8" spans="2:40" s="1" customFormat="1" ht="15" customHeight="1" x14ac:dyDescent="0.25"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G8" s="1" t="str">
        <f>SUBSTITUTE(AH8,",","; ")</f>
        <v>Mattress; Box Spring; Bed Frame</v>
      </c>
      <c r="AH8" s="1" t="s">
        <v>574</v>
      </c>
    </row>
    <row r="9" spans="2:40" s="1" customFormat="1" x14ac:dyDescent="0.25"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G9" s="1" t="str">
        <f t="shared" ref="AG9:AG17" si="0">SUBSTITUTE(AH9,",","; ")</f>
        <v/>
      </c>
      <c r="AH9" s="1"/>
    </row>
    <row r="10" spans="2:40" s="1" customFormat="1" ht="7.5" customHeight="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V10" s="2"/>
      <c r="W10" s="2"/>
      <c r="X10" s="2"/>
      <c r="Y10" s="2"/>
      <c r="Z10" s="2"/>
      <c r="AA10" s="2"/>
      <c r="AB10" s="2"/>
      <c r="AC10" s="2"/>
      <c r="AG10" s="1" t="str">
        <f t="shared" si="0"/>
        <v/>
      </c>
    </row>
    <row r="11" spans="2:40" s="1" customFormat="1" x14ac:dyDescent="0.25">
      <c r="B11" s="91" t="s">
        <v>575</v>
      </c>
      <c r="C11" s="81"/>
      <c r="D11" s="81"/>
      <c r="E11" s="81"/>
      <c r="F11" s="81"/>
      <c r="G11" s="81"/>
      <c r="H11" s="81"/>
      <c r="I11" s="81"/>
      <c r="J11" s="81"/>
      <c r="K11" s="82"/>
      <c r="L11" s="91"/>
      <c r="M11" s="81"/>
      <c r="N11" s="81"/>
      <c r="O11" s="81"/>
      <c r="P11" s="81"/>
      <c r="Q11" s="81"/>
      <c r="R11" s="81"/>
      <c r="S11" s="81"/>
      <c r="T11" s="81"/>
      <c r="U11" s="82"/>
      <c r="V11" s="91"/>
      <c r="W11" s="81"/>
      <c r="X11" s="81"/>
      <c r="Y11" s="81"/>
      <c r="Z11" s="81"/>
      <c r="AA11" s="81"/>
      <c r="AB11" s="81"/>
      <c r="AC11" s="81"/>
      <c r="AD11" s="82"/>
      <c r="AG11" s="1" t="str">
        <f t="shared" si="0"/>
        <v/>
      </c>
      <c r="AH11" s="1"/>
    </row>
    <row r="12" spans="2:40" s="1" customFormat="1" x14ac:dyDescent="0.25">
      <c r="B12" s="72" t="s">
        <v>42</v>
      </c>
      <c r="C12" s="73"/>
      <c r="D12" s="73"/>
      <c r="E12" s="73"/>
      <c r="F12" s="73"/>
      <c r="G12" s="73"/>
      <c r="H12" s="73"/>
      <c r="I12" s="74" t="s">
        <v>573</v>
      </c>
      <c r="J12" s="74"/>
      <c r="K12" s="32"/>
      <c r="L12" s="72" t="s">
        <v>42</v>
      </c>
      <c r="M12" s="73"/>
      <c r="N12" s="73"/>
      <c r="O12" s="73"/>
      <c r="P12" s="73"/>
      <c r="Q12" s="73"/>
      <c r="R12" s="73"/>
      <c r="S12" s="74"/>
      <c r="T12" s="74"/>
      <c r="U12" s="31"/>
      <c r="V12" s="30" t="s">
        <v>42</v>
      </c>
      <c r="W12" s="30"/>
      <c r="X12" s="30"/>
      <c r="Y12" s="30"/>
      <c r="Z12" s="30"/>
      <c r="AA12" s="30"/>
      <c r="AB12" s="33"/>
      <c r="AC12" s="74"/>
      <c r="AD12" s="84"/>
      <c r="AG12" s="1" t="str">
        <f t="shared" si="0"/>
        <v/>
      </c>
      <c r="AH12" s="1"/>
    </row>
    <row r="13" spans="2:40" s="1" customFormat="1" ht="15" customHeight="1" x14ac:dyDescent="0.25">
      <c r="B13" s="77" t="s">
        <v>43</v>
      </c>
      <c r="C13" s="78"/>
      <c r="D13" s="78"/>
      <c r="E13" s="78"/>
      <c r="F13" s="78"/>
      <c r="G13" s="78"/>
      <c r="H13" s="78"/>
      <c r="I13" s="78"/>
      <c r="J13" s="78"/>
      <c r="K13" s="79"/>
      <c r="L13" s="77" t="s">
        <v>43</v>
      </c>
      <c r="M13" s="78"/>
      <c r="N13" s="78"/>
      <c r="O13" s="78"/>
      <c r="P13" s="78"/>
      <c r="Q13" s="78"/>
      <c r="R13" s="78"/>
      <c r="S13" s="78"/>
      <c r="T13" s="78"/>
      <c r="U13" s="79"/>
      <c r="V13" s="77" t="s">
        <v>43</v>
      </c>
      <c r="W13" s="78"/>
      <c r="X13" s="78"/>
      <c r="Y13" s="78"/>
      <c r="Z13" s="78"/>
      <c r="AA13" s="78"/>
      <c r="AB13" s="78"/>
      <c r="AC13" s="78"/>
      <c r="AD13" s="79"/>
      <c r="AG13" s="1" t="str">
        <f t="shared" si="0"/>
        <v/>
      </c>
      <c r="AH13" s="1"/>
    </row>
    <row r="14" spans="2:40" s="1" customFormat="1" ht="15" customHeight="1" x14ac:dyDescent="0.25">
      <c r="B14" s="66" t="str">
        <f>AG8</f>
        <v>Mattress; Box Spring; Bed Frame</v>
      </c>
      <c r="C14" s="67"/>
      <c r="D14" s="67"/>
      <c r="E14" s="67"/>
      <c r="F14" s="67"/>
      <c r="G14" s="67"/>
      <c r="H14" s="67"/>
      <c r="I14" s="67"/>
      <c r="J14" s="67"/>
      <c r="K14" s="68"/>
      <c r="L14" s="66" t="str">
        <f>AG9</f>
        <v/>
      </c>
      <c r="M14" s="67"/>
      <c r="N14" s="67"/>
      <c r="O14" s="67"/>
      <c r="P14" s="67"/>
      <c r="Q14" s="67"/>
      <c r="R14" s="67"/>
      <c r="S14" s="67"/>
      <c r="T14" s="67"/>
      <c r="U14" s="68"/>
      <c r="V14" s="66" t="str">
        <f>AG11</f>
        <v/>
      </c>
      <c r="W14" s="67"/>
      <c r="X14" s="67"/>
      <c r="Y14" s="67"/>
      <c r="Z14" s="67"/>
      <c r="AA14" s="67"/>
      <c r="AB14" s="67"/>
      <c r="AC14" s="67"/>
      <c r="AD14" s="68"/>
      <c r="AG14" s="1" t="str">
        <f t="shared" si="0"/>
        <v>No Activity Present</v>
      </c>
      <c r="AH14" s="1" t="s">
        <v>576</v>
      </c>
    </row>
    <row r="15" spans="2:40" s="1" customFormat="1" x14ac:dyDescent="0.25">
      <c r="B15" s="66"/>
      <c r="C15" s="67"/>
      <c r="D15" s="67"/>
      <c r="E15" s="67"/>
      <c r="F15" s="67"/>
      <c r="G15" s="67"/>
      <c r="H15" s="67"/>
      <c r="I15" s="67"/>
      <c r="J15" s="67"/>
      <c r="K15" s="68"/>
      <c r="L15" s="66"/>
      <c r="M15" s="67"/>
      <c r="N15" s="67"/>
      <c r="O15" s="67"/>
      <c r="P15" s="67"/>
      <c r="Q15" s="67"/>
      <c r="R15" s="67"/>
      <c r="S15" s="67"/>
      <c r="T15" s="67"/>
      <c r="U15" s="68"/>
      <c r="V15" s="66"/>
      <c r="W15" s="67"/>
      <c r="X15" s="67"/>
      <c r="Y15" s="67"/>
      <c r="Z15" s="67"/>
      <c r="AA15" s="67"/>
      <c r="AB15" s="67"/>
      <c r="AC15" s="67"/>
      <c r="AD15" s="68"/>
      <c r="AG15" s="1" t="str">
        <f t="shared" si="0"/>
        <v>No Activity Present</v>
      </c>
      <c r="AH15" s="1" t="s">
        <v>576</v>
      </c>
    </row>
    <row r="16" spans="2:40" s="1" customFormat="1" x14ac:dyDescent="0.25">
      <c r="B16" s="66"/>
      <c r="C16" s="67"/>
      <c r="D16" s="67"/>
      <c r="E16" s="67"/>
      <c r="F16" s="67"/>
      <c r="G16" s="67"/>
      <c r="H16" s="67"/>
      <c r="I16" s="67"/>
      <c r="J16" s="67"/>
      <c r="K16" s="68"/>
      <c r="L16" s="66"/>
      <c r="M16" s="67"/>
      <c r="N16" s="67"/>
      <c r="O16" s="67"/>
      <c r="P16" s="67"/>
      <c r="Q16" s="67"/>
      <c r="R16" s="67"/>
      <c r="S16" s="67"/>
      <c r="T16" s="67"/>
      <c r="U16" s="68"/>
      <c r="V16" s="66"/>
      <c r="W16" s="67"/>
      <c r="X16" s="67"/>
      <c r="Y16" s="67"/>
      <c r="Z16" s="67"/>
      <c r="AA16" s="67"/>
      <c r="AB16" s="67"/>
      <c r="AC16" s="67"/>
      <c r="AD16" s="68"/>
      <c r="AG16" s="1" t="str">
        <f t="shared" si="0"/>
        <v>No Activity Present</v>
      </c>
      <c r="AH16" s="57" t="s">
        <v>576</v>
      </c>
    </row>
    <row r="17" spans="2:34" s="1" customFormat="1" x14ac:dyDescent="0.25">
      <c r="B17" s="66"/>
      <c r="C17" s="67"/>
      <c r="D17" s="67"/>
      <c r="E17" s="67"/>
      <c r="F17" s="67"/>
      <c r="G17" s="67"/>
      <c r="H17" s="67"/>
      <c r="I17" s="67"/>
      <c r="J17" s="67"/>
      <c r="K17" s="68"/>
      <c r="L17" s="66"/>
      <c r="M17" s="67"/>
      <c r="N17" s="67"/>
      <c r="O17" s="67"/>
      <c r="P17" s="67"/>
      <c r="Q17" s="67"/>
      <c r="R17" s="67"/>
      <c r="S17" s="67"/>
      <c r="T17" s="67"/>
      <c r="U17" s="68"/>
      <c r="V17" s="66"/>
      <c r="W17" s="67"/>
      <c r="X17" s="67"/>
      <c r="Y17" s="67"/>
      <c r="Z17" s="67"/>
      <c r="AA17" s="67"/>
      <c r="AB17" s="67"/>
      <c r="AC17" s="67"/>
      <c r="AD17" s="68"/>
      <c r="AG17" s="1" t="str">
        <f t="shared" si="0"/>
        <v>No Activity Present</v>
      </c>
      <c r="AH17" s="57" t="s">
        <v>576</v>
      </c>
    </row>
    <row r="18" spans="2:34" s="1" customFormat="1" ht="6.95" customHeight="1" x14ac:dyDescent="0.25">
      <c r="B18" s="69"/>
      <c r="C18" s="70"/>
      <c r="D18" s="70"/>
      <c r="E18" s="70"/>
      <c r="F18" s="70"/>
      <c r="G18" s="70"/>
      <c r="H18" s="70"/>
      <c r="I18" s="70"/>
      <c r="J18" s="70"/>
      <c r="K18" s="71"/>
      <c r="L18" s="69"/>
      <c r="M18" s="70"/>
      <c r="N18" s="70"/>
      <c r="O18" s="70"/>
      <c r="P18" s="70"/>
      <c r="Q18" s="70"/>
      <c r="R18" s="70"/>
      <c r="S18" s="70"/>
      <c r="T18" s="70"/>
      <c r="U18" s="71"/>
      <c r="V18" s="69"/>
      <c r="W18" s="70"/>
      <c r="X18" s="70"/>
      <c r="Y18" s="70"/>
      <c r="Z18" s="70"/>
      <c r="AA18" s="70"/>
      <c r="AB18" s="70"/>
      <c r="AC18" s="70"/>
      <c r="AD18" s="71"/>
    </row>
    <row r="19" spans="2:34" s="1" customFormat="1" x14ac:dyDescent="0.25">
      <c r="B19" s="91"/>
      <c r="C19" s="81"/>
      <c r="D19" s="81"/>
      <c r="E19" s="81"/>
      <c r="F19" s="81"/>
      <c r="G19" s="81"/>
      <c r="H19" s="81"/>
      <c r="I19" s="81"/>
      <c r="J19" s="81"/>
      <c r="K19" s="82"/>
      <c r="L19" s="9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2"/>
    </row>
    <row r="20" spans="2:34" s="1" customFormat="1" x14ac:dyDescent="0.25">
      <c r="B20" s="72" t="s">
        <v>42</v>
      </c>
      <c r="C20" s="73"/>
      <c r="D20" s="73"/>
      <c r="E20" s="73"/>
      <c r="F20" s="73"/>
      <c r="G20" s="73"/>
      <c r="H20" s="73"/>
      <c r="I20" s="74"/>
      <c r="J20" s="74"/>
      <c r="K20" s="32"/>
      <c r="L20" s="72" t="s">
        <v>42</v>
      </c>
      <c r="M20" s="73"/>
      <c r="N20" s="73"/>
      <c r="O20" s="73"/>
      <c r="P20" s="73"/>
      <c r="Q20" s="73"/>
      <c r="R20" s="73"/>
      <c r="S20" s="74"/>
      <c r="T20" s="74"/>
      <c r="U20" s="28"/>
      <c r="V20" s="34"/>
      <c r="W20" s="34"/>
      <c r="X20" s="34"/>
      <c r="Y20" s="34"/>
      <c r="Z20" s="34"/>
      <c r="AA20" s="34"/>
      <c r="AB20" s="34"/>
      <c r="AC20" s="75"/>
      <c r="AD20" s="76"/>
    </row>
    <row r="21" spans="2:34" s="1" customFormat="1" ht="15" customHeight="1" x14ac:dyDescent="0.25">
      <c r="B21" s="77" t="s">
        <v>43</v>
      </c>
      <c r="C21" s="78"/>
      <c r="D21" s="78"/>
      <c r="E21" s="78"/>
      <c r="F21" s="78"/>
      <c r="G21" s="78"/>
      <c r="H21" s="78"/>
      <c r="I21" s="78"/>
      <c r="J21" s="78"/>
      <c r="K21" s="79"/>
      <c r="L21" s="77" t="s">
        <v>43</v>
      </c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9"/>
    </row>
    <row r="22" spans="2:34" s="1" customFormat="1" ht="15" customHeight="1" x14ac:dyDescent="0.25">
      <c r="B22" s="66" t="str">
        <f>AG12</f>
        <v/>
      </c>
      <c r="C22" s="67"/>
      <c r="D22" s="67"/>
      <c r="E22" s="67"/>
      <c r="F22" s="67"/>
      <c r="G22" s="67"/>
      <c r="H22" s="67"/>
      <c r="I22" s="67"/>
      <c r="J22" s="67"/>
      <c r="K22" s="68"/>
      <c r="L22" s="66" t="str">
        <f>AG13</f>
        <v/>
      </c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8"/>
    </row>
    <row r="23" spans="2:34" s="1" customFormat="1" x14ac:dyDescent="0.25">
      <c r="B23" s="66"/>
      <c r="C23" s="67"/>
      <c r="D23" s="67"/>
      <c r="E23" s="67"/>
      <c r="F23" s="67"/>
      <c r="G23" s="67"/>
      <c r="H23" s="67"/>
      <c r="I23" s="67"/>
      <c r="J23" s="67"/>
      <c r="K23" s="68"/>
      <c r="L23" s="66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8"/>
    </row>
    <row r="24" spans="2:34" s="1" customFormat="1" x14ac:dyDescent="0.25">
      <c r="B24" s="66"/>
      <c r="C24" s="67"/>
      <c r="D24" s="67"/>
      <c r="E24" s="67"/>
      <c r="F24" s="67"/>
      <c r="G24" s="67"/>
      <c r="H24" s="67"/>
      <c r="I24" s="67"/>
      <c r="J24" s="67"/>
      <c r="K24" s="68"/>
      <c r="L24" s="66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8"/>
    </row>
    <row r="25" spans="2:34" s="1" customFormat="1" x14ac:dyDescent="0.25">
      <c r="B25" s="66"/>
      <c r="C25" s="67"/>
      <c r="D25" s="67"/>
      <c r="E25" s="67"/>
      <c r="F25" s="67"/>
      <c r="G25" s="67"/>
      <c r="H25" s="67"/>
      <c r="I25" s="67"/>
      <c r="J25" s="67"/>
      <c r="K25" s="68"/>
      <c r="L25" s="66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8"/>
    </row>
    <row r="26" spans="2:34" s="1" customFormat="1" ht="6.95" customHeight="1" x14ac:dyDescent="0.25">
      <c r="B26" s="69"/>
      <c r="C26" s="70"/>
      <c r="D26" s="70"/>
      <c r="E26" s="70"/>
      <c r="F26" s="70"/>
      <c r="G26" s="70"/>
      <c r="H26" s="70"/>
      <c r="I26" s="70"/>
      <c r="J26" s="70"/>
      <c r="K26" s="71"/>
      <c r="L26" s="69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1"/>
    </row>
    <row r="27" spans="2:34" s="1" customFormat="1" x14ac:dyDescent="0.25">
      <c r="B27" s="60" t="s">
        <v>44</v>
      </c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2"/>
      <c r="P27" s="60" t="s">
        <v>45</v>
      </c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2"/>
    </row>
    <row r="28" spans="2:34" s="1" customFormat="1" ht="15" customHeight="1" x14ac:dyDescent="0.25">
      <c r="B28" s="63" t="str">
        <f>AG14</f>
        <v>No Activity Present</v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5"/>
      <c r="P28" s="63" t="str">
        <f>AG15</f>
        <v>No Activity Present</v>
      </c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5"/>
    </row>
    <row r="29" spans="2:34" s="1" customFormat="1" ht="15" customHeight="1" x14ac:dyDescent="0.25">
      <c r="B29" s="66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8"/>
      <c r="P29" s="66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8"/>
    </row>
    <row r="30" spans="2:34" s="1" customFormat="1" x14ac:dyDescent="0.25">
      <c r="B30" s="66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8"/>
      <c r="P30" s="66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8"/>
    </row>
    <row r="31" spans="2:34" s="1" customFormat="1" x14ac:dyDescent="0.25">
      <c r="B31" s="69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1"/>
      <c r="P31" s="69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1"/>
    </row>
    <row r="32" spans="2:34" s="1" customFormat="1" x14ac:dyDescent="0.25">
      <c r="B32" s="60" t="s">
        <v>46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2"/>
      <c r="P32" s="60" t="s">
        <v>47</v>
      </c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2"/>
    </row>
    <row r="33" spans="2:33" s="1" customFormat="1" ht="15" customHeight="1" x14ac:dyDescent="0.25">
      <c r="B33" s="63" t="str">
        <f>AG16</f>
        <v>No Activity Present</v>
      </c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5"/>
      <c r="P33" s="63" t="str">
        <f>AG17</f>
        <v>No Activity Present</v>
      </c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5"/>
    </row>
    <row r="34" spans="2:33" s="1" customFormat="1" ht="15" customHeight="1" x14ac:dyDescent="0.25">
      <c r="B34" s="66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8"/>
      <c r="P34" s="66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8"/>
    </row>
    <row r="35" spans="2:33" s="1" customFormat="1" x14ac:dyDescent="0.25">
      <c r="B35" s="69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1"/>
      <c r="P35" s="69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1"/>
      <c r="AF35"/>
      <c r="AG35"/>
    </row>
    <row r="36" spans="2:33" s="1" customFormat="1" ht="6.95" customHeight="1" x14ac:dyDescent="0.25"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F36"/>
    </row>
    <row r="37" spans="2:33" s="56" customFormat="1" x14ac:dyDescent="0.25">
      <c r="B37" s="59" t="s">
        <v>577</v>
      </c>
      <c r="C37" s="59"/>
      <c r="D37" s="59"/>
      <c r="E37" s="59"/>
      <c r="F37" s="59"/>
      <c r="G37" s="59"/>
      <c r="H37" s="59"/>
      <c r="I37" s="59" t="s">
        <v>577</v>
      </c>
      <c r="J37" s="59"/>
      <c r="K37" s="59"/>
      <c r="L37" s="59"/>
      <c r="M37" s="59"/>
      <c r="N37" s="59"/>
      <c r="O37" s="59"/>
      <c r="P37" s="59" t="s">
        <v>577</v>
      </c>
      <c r="Q37" s="59"/>
      <c r="R37" s="59"/>
      <c r="S37" s="59"/>
      <c r="T37" s="59"/>
      <c r="U37" s="59"/>
      <c r="V37" s="59"/>
      <c r="W37" s="59" t="s">
        <v>577</v>
      </c>
      <c r="X37" s="59"/>
      <c r="Y37" s="59"/>
      <c r="Z37" s="59"/>
      <c r="AA37" s="59"/>
      <c r="AB37" s="59"/>
      <c r="AC37" s="59"/>
      <c r="AD37" s="58"/>
    </row>
    <row r="38" spans="2:33" s="56" customFormat="1" x14ac:dyDescent="0.25"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8"/>
    </row>
    <row r="39" spans="2:33" s="56" customFormat="1" x14ac:dyDescent="0.25"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8"/>
    </row>
    <row r="40" spans="2:33" s="56" customFormat="1" x14ac:dyDescent="0.25"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58"/>
    </row>
    <row r="41" spans="2:33" s="56" customFormat="1" x14ac:dyDescent="0.25"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8"/>
    </row>
    <row r="42" spans="2:33" s="56" customFormat="1" x14ac:dyDescent="0.25"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8"/>
    </row>
    <row r="43" spans="2:33" s="44" customFormat="1" x14ac:dyDescent="0.25"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8"/>
    </row>
    <row r="44" spans="2:33" s="44" customFormat="1" x14ac:dyDescent="0.25">
      <c r="B44" s="59" t="s">
        <v>577</v>
      </c>
      <c r="C44" s="59"/>
      <c r="D44" s="59"/>
      <c r="E44" s="59"/>
      <c r="F44" s="59"/>
      <c r="G44" s="59"/>
      <c r="H44" s="59"/>
      <c r="I44" s="59" t="s">
        <v>577</v>
      </c>
      <c r="J44" s="59"/>
      <c r="K44" s="59"/>
      <c r="L44" s="59"/>
      <c r="M44" s="59"/>
      <c r="N44" s="59"/>
      <c r="O44" s="59"/>
      <c r="P44" s="59" t="s">
        <v>577</v>
      </c>
      <c r="Q44" s="59"/>
      <c r="R44" s="59"/>
      <c r="S44" s="59"/>
      <c r="T44" s="59"/>
      <c r="U44" s="59"/>
      <c r="V44" s="59"/>
      <c r="W44" s="59" t="s">
        <v>577</v>
      </c>
      <c r="X44" s="59"/>
      <c r="Y44" s="59"/>
      <c r="Z44" s="59"/>
      <c r="AA44" s="59"/>
      <c r="AB44" s="59"/>
      <c r="AC44" s="59"/>
      <c r="AD44" s="58"/>
    </row>
    <row r="45" spans="2:33" s="44" customFormat="1" x14ac:dyDescent="0.25"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8"/>
    </row>
    <row r="46" spans="2:33" s="44" customFormat="1" x14ac:dyDescent="0.25"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8"/>
    </row>
    <row r="47" spans="2:33" s="44" customFormat="1" ht="6.95" customHeight="1" x14ac:dyDescent="0.25"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21"/>
    </row>
    <row r="48" spans="2:33" s="44" customFormat="1" x14ac:dyDescent="0.25"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8"/>
    </row>
    <row r="49" spans="2:34" s="44" customFormat="1" x14ac:dyDescent="0.25"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8"/>
    </row>
    <row r="50" spans="2:34" s="44" customFormat="1" x14ac:dyDescent="0.25"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8"/>
    </row>
    <row r="51" spans="2:34" s="44" customFormat="1" x14ac:dyDescent="0.25">
      <c r="B51" s="59" t="s">
        <v>577</v>
      </c>
      <c r="C51" s="59"/>
      <c r="D51" s="59"/>
      <c r="E51" s="59"/>
      <c r="F51" s="59"/>
      <c r="G51" s="59"/>
      <c r="H51" s="59"/>
      <c r="I51" s="59" t="s">
        <v>577</v>
      </c>
      <c r="J51" s="59"/>
      <c r="K51" s="59"/>
      <c r="L51" s="59"/>
      <c r="M51" s="59"/>
      <c r="N51" s="59"/>
      <c r="O51" s="59"/>
      <c r="P51" s="59" t="s">
        <v>577</v>
      </c>
      <c r="Q51" s="59"/>
      <c r="R51" s="59"/>
      <c r="S51" s="59"/>
      <c r="T51" s="59"/>
      <c r="U51" s="59"/>
      <c r="V51" s="59"/>
      <c r="W51" s="59" t="s">
        <v>577</v>
      </c>
      <c r="X51" s="59"/>
      <c r="Y51" s="59"/>
      <c r="Z51" s="59"/>
      <c r="AA51" s="59"/>
      <c r="AB51" s="59"/>
      <c r="AC51" s="59"/>
      <c r="AD51" s="58"/>
    </row>
    <row r="52" spans="2:34" s="44" customFormat="1" x14ac:dyDescent="0.25"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8"/>
    </row>
    <row r="53" spans="2:34" s="44" customFormat="1" x14ac:dyDescent="0.25"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8"/>
    </row>
    <row r="54" spans="2:34" s="44" customFormat="1" x14ac:dyDescent="0.25"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8"/>
    </row>
    <row r="55" spans="2:34" s="44" customFormat="1" x14ac:dyDescent="0.25"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8"/>
    </row>
    <row r="56" spans="2:34" s="44" customFormat="1" x14ac:dyDescent="0.25"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8"/>
    </row>
    <row r="57" spans="2:34" s="44" customFormat="1" x14ac:dyDescent="0.25"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8"/>
    </row>
    <row r="58" spans="2:34" s="1" customFormat="1" x14ac:dyDescent="0.25" hidden="true">
      <c r="B58" s="85" t="s">
        <v>223</v>
      </c>
      <c r="C58" s="85"/>
      <c r="D58" s="85"/>
      <c r="E58" s="85"/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5" t="s">
        <v>41</v>
      </c>
      <c r="U58" s="85"/>
      <c r="V58" s="85"/>
      <c r="W58" s="85"/>
      <c r="X58" s="85"/>
      <c r="Y58" s="85"/>
      <c r="Z58" s="85"/>
      <c r="AA58" s="85"/>
      <c r="AB58" s="85"/>
      <c r="AC58" s="86"/>
      <c r="AD58" s="86"/>
    </row>
    <row r="59" spans="2:34" s="1" customFormat="1" ht="15" customHeight="1" x14ac:dyDescent="0.25" hidden="true"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G59" s="1" t="str">
        <f>SUBSTITUTE(AH59,",","; ")</f>
        <v/>
      </c>
      <c r="AH59" s="1"/>
    </row>
    <row r="60" spans="2:34" s="1" customFormat="1" x14ac:dyDescent="0.25" hidden="true"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G60" s="1" t="str">
        <f t="shared" ref="AG60:AG68" si="1">SUBSTITUTE(AH60,",","; ")</f>
        <v/>
      </c>
      <c r="AH60" s="1"/>
    </row>
    <row r="61" spans="2:34" s="1" customFormat="1" ht="7.5" customHeight="1" x14ac:dyDescent="0.25" hidden="true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V61" s="2"/>
      <c r="W61" s="2"/>
      <c r="X61" s="2"/>
      <c r="Y61" s="2"/>
      <c r="Z61" s="2"/>
      <c r="AA61" s="2"/>
      <c r="AB61" s="2"/>
      <c r="AC61" s="2"/>
      <c r="AG61" s="1" t="str">
        <f t="shared" si="1"/>
        <v/>
      </c>
    </row>
    <row r="62" spans="2:34" s="1" customFormat="1" x14ac:dyDescent="0.25" hidden="true">
      <c r="B62" s="80"/>
      <c r="C62" s="81"/>
      <c r="D62" s="81"/>
      <c r="E62" s="81"/>
      <c r="F62" s="81"/>
      <c r="G62" s="81"/>
      <c r="H62" s="81"/>
      <c r="I62" s="81"/>
      <c r="J62" s="81"/>
      <c r="K62" s="82"/>
      <c r="L62" s="80"/>
      <c r="M62" s="81"/>
      <c r="N62" s="81"/>
      <c r="O62" s="81"/>
      <c r="P62" s="81"/>
      <c r="Q62" s="81"/>
      <c r="R62" s="81"/>
      <c r="S62" s="81"/>
      <c r="T62" s="81"/>
      <c r="U62" s="82"/>
      <c r="V62" s="80"/>
      <c r="W62" s="81"/>
      <c r="X62" s="81"/>
      <c r="Y62" s="81"/>
      <c r="Z62" s="81"/>
      <c r="AA62" s="81"/>
      <c r="AB62" s="81"/>
      <c r="AC62" s="81"/>
      <c r="AD62" s="82"/>
      <c r="AG62" s="1" t="str">
        <f t="shared" si="1"/>
        <v/>
      </c>
      <c r="AH62" s="1"/>
    </row>
    <row r="63" spans="2:34" s="1" customFormat="1" x14ac:dyDescent="0.25" hidden="true">
      <c r="B63" s="72" t="s">
        <v>42</v>
      </c>
      <c r="C63" s="73"/>
      <c r="D63" s="73"/>
      <c r="E63" s="73"/>
      <c r="F63" s="73"/>
      <c r="G63" s="73"/>
      <c r="H63" s="73"/>
      <c r="I63" s="74"/>
      <c r="J63" s="74"/>
      <c r="K63" s="32"/>
      <c r="L63" s="72" t="s">
        <v>42</v>
      </c>
      <c r="M63" s="73"/>
      <c r="N63" s="73"/>
      <c r="O63" s="73"/>
      <c r="P63" s="73"/>
      <c r="Q63" s="73"/>
      <c r="R63" s="73"/>
      <c r="S63" s="74"/>
      <c r="T63" s="74"/>
      <c r="U63" s="31"/>
      <c r="V63" s="30" t="s">
        <v>42</v>
      </c>
      <c r="W63" s="30"/>
      <c r="X63" s="30"/>
      <c r="Y63" s="30"/>
      <c r="Z63" s="30"/>
      <c r="AA63" s="30"/>
      <c r="AB63" s="55"/>
      <c r="AC63" s="74"/>
      <c r="AD63" s="84"/>
      <c r="AG63" s="1" t="str">
        <f t="shared" si="1"/>
        <v/>
      </c>
      <c r="AH63" s="1"/>
    </row>
    <row r="64" spans="2:34" s="1" customFormat="1" ht="15" customHeight="1" x14ac:dyDescent="0.25" hidden="true">
      <c r="B64" s="77" t="s">
        <v>43</v>
      </c>
      <c r="C64" s="78"/>
      <c r="D64" s="78"/>
      <c r="E64" s="78"/>
      <c r="F64" s="78"/>
      <c r="G64" s="78"/>
      <c r="H64" s="78"/>
      <c r="I64" s="78"/>
      <c r="J64" s="78"/>
      <c r="K64" s="79"/>
      <c r="L64" s="77" t="s">
        <v>43</v>
      </c>
      <c r="M64" s="78"/>
      <c r="N64" s="78"/>
      <c r="O64" s="78"/>
      <c r="P64" s="78"/>
      <c r="Q64" s="78"/>
      <c r="R64" s="78"/>
      <c r="S64" s="78"/>
      <c r="T64" s="78"/>
      <c r="U64" s="79"/>
      <c r="V64" s="77" t="s">
        <v>43</v>
      </c>
      <c r="W64" s="78"/>
      <c r="X64" s="78"/>
      <c r="Y64" s="78"/>
      <c r="Z64" s="78"/>
      <c r="AA64" s="78"/>
      <c r="AB64" s="78"/>
      <c r="AC64" s="78"/>
      <c r="AD64" s="79"/>
      <c r="AG64" s="1" t="str">
        <f t="shared" si="1"/>
        <v/>
      </c>
      <c r="AH64" s="1"/>
    </row>
    <row r="65" spans="2:34" s="1" customFormat="1" ht="15" customHeight="1" x14ac:dyDescent="0.25" hidden="true">
      <c r="B65" s="66" t="str">
        <f>AG59</f>
        <v/>
      </c>
      <c r="C65" s="67"/>
      <c r="D65" s="67"/>
      <c r="E65" s="67"/>
      <c r="F65" s="67"/>
      <c r="G65" s="67"/>
      <c r="H65" s="67"/>
      <c r="I65" s="67"/>
      <c r="J65" s="67"/>
      <c r="K65" s="68"/>
      <c r="L65" s="66" t="str">
        <f>AG60</f>
        <v/>
      </c>
      <c r="M65" s="67"/>
      <c r="N65" s="67"/>
      <c r="O65" s="67"/>
      <c r="P65" s="67"/>
      <c r="Q65" s="67"/>
      <c r="R65" s="67"/>
      <c r="S65" s="67"/>
      <c r="T65" s="67"/>
      <c r="U65" s="68"/>
      <c r="V65" s="66" t="str">
        <f>AG62</f>
        <v/>
      </c>
      <c r="W65" s="67"/>
      <c r="X65" s="67"/>
      <c r="Y65" s="67"/>
      <c r="Z65" s="67"/>
      <c r="AA65" s="67"/>
      <c r="AB65" s="67"/>
      <c r="AC65" s="67"/>
      <c r="AD65" s="68"/>
      <c r="AG65" s="1" t="str">
        <f t="shared" si="1"/>
        <v/>
      </c>
      <c r="AH65" s="1"/>
    </row>
    <row r="66" spans="2:34" s="1" customFormat="1" x14ac:dyDescent="0.25" hidden="true">
      <c r="B66" s="66"/>
      <c r="C66" s="67"/>
      <c r="D66" s="67"/>
      <c r="E66" s="67"/>
      <c r="F66" s="67"/>
      <c r="G66" s="67"/>
      <c r="H66" s="67"/>
      <c r="I66" s="67"/>
      <c r="J66" s="67"/>
      <c r="K66" s="68"/>
      <c r="L66" s="66"/>
      <c r="M66" s="67"/>
      <c r="N66" s="67"/>
      <c r="O66" s="67"/>
      <c r="P66" s="67"/>
      <c r="Q66" s="67"/>
      <c r="R66" s="67"/>
      <c r="S66" s="67"/>
      <c r="T66" s="67"/>
      <c r="U66" s="68"/>
      <c r="V66" s="66"/>
      <c r="W66" s="67"/>
      <c r="X66" s="67"/>
      <c r="Y66" s="67"/>
      <c r="Z66" s="67"/>
      <c r="AA66" s="67"/>
      <c r="AB66" s="67"/>
      <c r="AC66" s="67"/>
      <c r="AD66" s="68"/>
      <c r="AG66" s="1" t="str">
        <f t="shared" si="1"/>
        <v/>
      </c>
      <c r="AH66" s="1"/>
    </row>
    <row r="67" spans="2:34" s="1" customFormat="1" x14ac:dyDescent="0.25" hidden="true">
      <c r="B67" s="66"/>
      <c r="C67" s="67"/>
      <c r="D67" s="67"/>
      <c r="E67" s="67"/>
      <c r="F67" s="67"/>
      <c r="G67" s="67"/>
      <c r="H67" s="67"/>
      <c r="I67" s="67"/>
      <c r="J67" s="67"/>
      <c r="K67" s="68"/>
      <c r="L67" s="66"/>
      <c r="M67" s="67"/>
      <c r="N67" s="67"/>
      <c r="O67" s="67"/>
      <c r="P67" s="67"/>
      <c r="Q67" s="67"/>
      <c r="R67" s="67"/>
      <c r="S67" s="67"/>
      <c r="T67" s="67"/>
      <c r="U67" s="68"/>
      <c r="V67" s="66"/>
      <c r="W67" s="67"/>
      <c r="X67" s="67"/>
      <c r="Y67" s="67"/>
      <c r="Z67" s="67"/>
      <c r="AA67" s="67"/>
      <c r="AB67" s="67"/>
      <c r="AC67" s="67"/>
      <c r="AD67" s="68"/>
      <c r="AG67" s="1" t="str">
        <f t="shared" si="1"/>
        <v/>
      </c>
      <c r="AH67" s="57"/>
    </row>
    <row r="68" spans="2:34" s="1" customFormat="1" x14ac:dyDescent="0.25" hidden="true">
      <c r="B68" s="66"/>
      <c r="C68" s="67"/>
      <c r="D68" s="67"/>
      <c r="E68" s="67"/>
      <c r="F68" s="67"/>
      <c r="G68" s="67"/>
      <c r="H68" s="67"/>
      <c r="I68" s="67"/>
      <c r="J68" s="67"/>
      <c r="K68" s="68"/>
      <c r="L68" s="66"/>
      <c r="M68" s="67"/>
      <c r="N68" s="67"/>
      <c r="O68" s="67"/>
      <c r="P68" s="67"/>
      <c r="Q68" s="67"/>
      <c r="R68" s="67"/>
      <c r="S68" s="67"/>
      <c r="T68" s="67"/>
      <c r="U68" s="68"/>
      <c r="V68" s="66"/>
      <c r="W68" s="67"/>
      <c r="X68" s="67"/>
      <c r="Y68" s="67"/>
      <c r="Z68" s="67"/>
      <c r="AA68" s="67"/>
      <c r="AB68" s="67"/>
      <c r="AC68" s="67"/>
      <c r="AD68" s="68"/>
      <c r="AG68" s="1" t="str">
        <f t="shared" si="1"/>
        <v/>
      </c>
      <c r="AH68" s="57"/>
    </row>
    <row r="69" spans="2:34" s="1" customFormat="1" ht="6.95" customHeight="1" x14ac:dyDescent="0.25" hidden="true">
      <c r="B69" s="69"/>
      <c r="C69" s="70"/>
      <c r="D69" s="70"/>
      <c r="E69" s="70"/>
      <c r="F69" s="70"/>
      <c r="G69" s="70"/>
      <c r="H69" s="70"/>
      <c r="I69" s="70"/>
      <c r="J69" s="70"/>
      <c r="K69" s="71"/>
      <c r="L69" s="69"/>
      <c r="M69" s="70"/>
      <c r="N69" s="70"/>
      <c r="O69" s="70"/>
      <c r="P69" s="70"/>
      <c r="Q69" s="70"/>
      <c r="R69" s="70"/>
      <c r="S69" s="70"/>
      <c r="T69" s="70"/>
      <c r="U69" s="71"/>
      <c r="V69" s="69"/>
      <c r="W69" s="70"/>
      <c r="X69" s="70"/>
      <c r="Y69" s="70"/>
      <c r="Z69" s="70"/>
      <c r="AA69" s="70"/>
      <c r="AB69" s="70"/>
      <c r="AC69" s="70"/>
      <c r="AD69" s="71"/>
    </row>
    <row r="70" spans="2:34" s="1" customFormat="1" x14ac:dyDescent="0.25" hidden="true">
      <c r="B70" s="80"/>
      <c r="C70" s="81"/>
      <c r="D70" s="81"/>
      <c r="E70" s="81"/>
      <c r="F70" s="81"/>
      <c r="G70" s="81"/>
      <c r="H70" s="81"/>
      <c r="I70" s="81"/>
      <c r="J70" s="81"/>
      <c r="K70" s="82"/>
      <c r="L70" s="80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  <c r="X70" s="81"/>
      <c r="Y70" s="81"/>
      <c r="Z70" s="81"/>
      <c r="AA70" s="81"/>
      <c r="AB70" s="81"/>
      <c r="AC70" s="81"/>
      <c r="AD70" s="82"/>
    </row>
    <row r="71" spans="2:34" s="1" customFormat="1" x14ac:dyDescent="0.25" hidden="true">
      <c r="B71" s="72" t="s">
        <v>42</v>
      </c>
      <c r="C71" s="73"/>
      <c r="D71" s="73"/>
      <c r="E71" s="73"/>
      <c r="F71" s="73"/>
      <c r="G71" s="73"/>
      <c r="H71" s="73"/>
      <c r="I71" s="74"/>
      <c r="J71" s="74"/>
      <c r="K71" s="32"/>
      <c r="L71" s="72" t="s">
        <v>42</v>
      </c>
      <c r="M71" s="73"/>
      <c r="N71" s="73"/>
      <c r="O71" s="73"/>
      <c r="P71" s="73"/>
      <c r="Q71" s="73"/>
      <c r="R71" s="73"/>
      <c r="S71" s="74"/>
      <c r="T71" s="74"/>
      <c r="U71" s="28"/>
      <c r="V71" s="35"/>
      <c r="W71" s="35"/>
      <c r="X71" s="35"/>
      <c r="Y71" s="35"/>
      <c r="Z71" s="35"/>
      <c r="AA71" s="35"/>
      <c r="AB71" s="35"/>
      <c r="AC71" s="75"/>
      <c r="AD71" s="76"/>
    </row>
    <row r="72" spans="2:34" s="1" customFormat="1" ht="15" customHeight="1" x14ac:dyDescent="0.25" hidden="true">
      <c r="B72" s="77" t="s">
        <v>43</v>
      </c>
      <c r="C72" s="78"/>
      <c r="D72" s="78"/>
      <c r="E72" s="78"/>
      <c r="F72" s="78"/>
      <c r="G72" s="78"/>
      <c r="H72" s="78"/>
      <c r="I72" s="78"/>
      <c r="J72" s="78"/>
      <c r="K72" s="79"/>
      <c r="L72" s="77" t="s">
        <v>43</v>
      </c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9"/>
    </row>
    <row r="73" spans="2:34" s="1" customFormat="1" ht="15" customHeight="1" x14ac:dyDescent="0.25" hidden="true">
      <c r="B73" s="66" t="str">
        <f>AG63</f>
        <v/>
      </c>
      <c r="C73" s="67"/>
      <c r="D73" s="67"/>
      <c r="E73" s="67"/>
      <c r="F73" s="67"/>
      <c r="G73" s="67"/>
      <c r="H73" s="67"/>
      <c r="I73" s="67"/>
      <c r="J73" s="67"/>
      <c r="K73" s="68"/>
      <c r="L73" s="66" t="str">
        <f>AG64</f>
        <v/>
      </c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8"/>
    </row>
    <row r="74" spans="2:34" s="1" customFormat="1" x14ac:dyDescent="0.25" hidden="true">
      <c r="B74" s="66"/>
      <c r="C74" s="67"/>
      <c r="D74" s="67"/>
      <c r="E74" s="67"/>
      <c r="F74" s="67"/>
      <c r="G74" s="67"/>
      <c r="H74" s="67"/>
      <c r="I74" s="67"/>
      <c r="J74" s="67"/>
      <c r="K74" s="68"/>
      <c r="L74" s="66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8"/>
    </row>
    <row r="75" spans="2:34" s="1" customFormat="1" x14ac:dyDescent="0.25" hidden="true">
      <c r="B75" s="66"/>
      <c r="C75" s="67"/>
      <c r="D75" s="67"/>
      <c r="E75" s="67"/>
      <c r="F75" s="67"/>
      <c r="G75" s="67"/>
      <c r="H75" s="67"/>
      <c r="I75" s="67"/>
      <c r="J75" s="67"/>
      <c r="K75" s="68"/>
      <c r="L75" s="66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68"/>
    </row>
    <row r="76" spans="2:34" s="1" customFormat="1" x14ac:dyDescent="0.25" hidden="true">
      <c r="B76" s="66"/>
      <c r="C76" s="67"/>
      <c r="D76" s="67"/>
      <c r="E76" s="67"/>
      <c r="F76" s="67"/>
      <c r="G76" s="67"/>
      <c r="H76" s="67"/>
      <c r="I76" s="67"/>
      <c r="J76" s="67"/>
      <c r="K76" s="68"/>
      <c r="L76" s="66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D76" s="68"/>
    </row>
    <row r="77" spans="2:34" s="1" customFormat="1" ht="6.95" customHeight="1" x14ac:dyDescent="0.25" hidden="true">
      <c r="B77" s="69"/>
      <c r="C77" s="70"/>
      <c r="D77" s="70"/>
      <c r="E77" s="70"/>
      <c r="F77" s="70"/>
      <c r="G77" s="70"/>
      <c r="H77" s="70"/>
      <c r="I77" s="70"/>
      <c r="J77" s="70"/>
      <c r="K77" s="71"/>
      <c r="L77" s="69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1"/>
    </row>
    <row r="78" spans="2:34" s="1" customFormat="1" x14ac:dyDescent="0.25" hidden="true">
      <c r="B78" s="60" t="s">
        <v>44</v>
      </c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2"/>
      <c r="P78" s="60" t="s">
        <v>45</v>
      </c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2"/>
    </row>
    <row r="79" spans="2:34" s="1" customFormat="1" ht="15" customHeight="1" x14ac:dyDescent="0.25" hidden="true">
      <c r="B79" s="63" t="str">
        <f>AG65</f>
        <v/>
      </c>
      <c r="C79" s="64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5"/>
      <c r="P79" s="63" t="str">
        <f>AG66</f>
        <v/>
      </c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5"/>
    </row>
    <row r="80" spans="2:34" s="1" customFormat="1" ht="15" customHeight="1" x14ac:dyDescent="0.25" hidden="true">
      <c r="B80" s="66"/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8"/>
      <c r="P80" s="66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8"/>
    </row>
    <row r="81" spans="2:33" s="1" customFormat="1" x14ac:dyDescent="0.25" hidden="true">
      <c r="B81" s="66"/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8"/>
      <c r="P81" s="66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8"/>
    </row>
    <row r="82" spans="2:33" s="1" customFormat="1" x14ac:dyDescent="0.25" hidden="true">
      <c r="B82" s="69"/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1"/>
      <c r="P82" s="69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1"/>
    </row>
    <row r="83" spans="2:33" s="1" customFormat="1" x14ac:dyDescent="0.25" hidden="true">
      <c r="B83" s="60" t="s">
        <v>46</v>
      </c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2"/>
      <c r="P83" s="60" t="s">
        <v>47</v>
      </c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2"/>
    </row>
    <row r="84" spans="2:33" s="1" customFormat="1" ht="15" customHeight="1" x14ac:dyDescent="0.25" hidden="true">
      <c r="B84" s="63" t="str">
        <f>AG67</f>
        <v/>
      </c>
      <c r="C84" s="64"/>
      <c r="D84" s="64"/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5"/>
      <c r="P84" s="63" t="str">
        <f>AG68</f>
        <v/>
      </c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5"/>
    </row>
    <row r="85" spans="2:33" s="1" customFormat="1" ht="15" customHeight="1" x14ac:dyDescent="0.25" hidden="true">
      <c r="B85" s="66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8"/>
      <c r="P85" s="66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D85" s="68"/>
    </row>
    <row r="86" spans="2:33" s="1" customFormat="1" x14ac:dyDescent="0.25" hidden="true">
      <c r="B86" s="69"/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1"/>
      <c r="P86" s="69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1"/>
      <c r="AF86"/>
      <c r="AG86"/>
    </row>
    <row r="87" spans="2:33" s="1" customFormat="1" ht="6.95" customHeight="1" x14ac:dyDescent="0.25" hidden="true"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F87"/>
    </row>
    <row r="88" spans="2:33" s="56" customFormat="1" x14ac:dyDescent="0.25" hidden="true">
      <c r="B88" s="59" t="s">
        <v>577</v>
      </c>
      <c r="C88" s="59"/>
      <c r="D88" s="59"/>
      <c r="E88" s="59"/>
      <c r="F88" s="59"/>
      <c r="G88" s="59"/>
      <c r="H88" s="59"/>
      <c r="I88" s="59" t="s">
        <v>577</v>
      </c>
      <c r="J88" s="59"/>
      <c r="K88" s="59"/>
      <c r="L88" s="59"/>
      <c r="M88" s="59"/>
      <c r="N88" s="59"/>
      <c r="O88" s="59"/>
      <c r="P88" s="59" t="s">
        <v>577</v>
      </c>
      <c r="Q88" s="59"/>
      <c r="R88" s="59"/>
      <c r="S88" s="59"/>
      <c r="T88" s="59"/>
      <c r="U88" s="59"/>
      <c r="V88" s="59"/>
      <c r="W88" s="59" t="s">
        <v>577</v>
      </c>
      <c r="X88" s="59"/>
      <c r="Y88" s="59"/>
      <c r="Z88" s="59"/>
      <c r="AA88" s="59"/>
      <c r="AB88" s="59"/>
      <c r="AC88" s="59"/>
      <c r="AD88" s="58"/>
    </row>
    <row r="89" spans="2:33" s="56" customFormat="1" x14ac:dyDescent="0.25" hidden="true">
      <c r="B89" s="59"/>
      <c r="C89" s="59"/>
      <c r="D89" s="59"/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8"/>
    </row>
    <row r="90" spans="2:33" s="56" customFormat="1" x14ac:dyDescent="0.25" hidden="true">
      <c r="B90" s="59"/>
      <c r="C90" s="59"/>
      <c r="D90" s="59"/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8"/>
    </row>
    <row r="91" spans="2:33" s="56" customFormat="1" x14ac:dyDescent="0.25" hidden="true">
      <c r="B91" s="59"/>
      <c r="C91" s="59"/>
      <c r="D91" s="59"/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8"/>
    </row>
    <row r="92" spans="2:33" s="56" customFormat="1" x14ac:dyDescent="0.25" hidden="true">
      <c r="B92" s="59"/>
      <c r="C92" s="59"/>
      <c r="D92" s="59"/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8"/>
    </row>
    <row r="93" spans="2:33" s="56" customFormat="1" x14ac:dyDescent="0.25" hidden="true">
      <c r="B93" s="59"/>
      <c r="C93" s="59"/>
      <c r="D93" s="59"/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8"/>
    </row>
    <row r="94" spans="2:33" s="44" customFormat="1" x14ac:dyDescent="0.25" hidden="true">
      <c r="B94" s="59"/>
      <c r="C94" s="59"/>
      <c r="D94" s="59"/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58"/>
    </row>
    <row r="95" spans="2:33" s="44" customFormat="1" x14ac:dyDescent="0.25" hidden="true">
      <c r="B95" s="59" t="s">
        <v>577</v>
      </c>
      <c r="C95" s="59"/>
      <c r="D95" s="59"/>
      <c r="E95" s="59"/>
      <c r="F95" s="59"/>
      <c r="G95" s="59"/>
      <c r="H95" s="59"/>
      <c r="I95" s="59" t="s">
        <v>577</v>
      </c>
      <c r="J95" s="59"/>
      <c r="K95" s="59"/>
      <c r="L95" s="59"/>
      <c r="M95" s="59"/>
      <c r="N95" s="59"/>
      <c r="O95" s="59"/>
      <c r="P95" s="59" t="s">
        <v>577</v>
      </c>
      <c r="Q95" s="59"/>
      <c r="R95" s="59"/>
      <c r="S95" s="59"/>
      <c r="T95" s="59"/>
      <c r="U95" s="59"/>
      <c r="V95" s="59"/>
      <c r="W95" s="59" t="s">
        <v>577</v>
      </c>
      <c r="X95" s="59"/>
      <c r="Y95" s="59"/>
      <c r="Z95" s="59"/>
      <c r="AA95" s="59"/>
      <c r="AB95" s="59"/>
      <c r="AC95" s="59"/>
      <c r="AD95" s="58"/>
    </row>
    <row r="96" spans="2:33" s="44" customFormat="1" x14ac:dyDescent="0.25" hidden="true">
      <c r="B96" s="59"/>
      <c r="C96" s="59"/>
      <c r="D96" s="59"/>
      <c r="E96" s="59"/>
      <c r="F96" s="59"/>
      <c r="G96" s="59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8"/>
    </row>
    <row r="97" spans="2:34" s="44" customFormat="1" x14ac:dyDescent="0.25" hidden="true">
      <c r="B97" s="59"/>
      <c r="C97" s="59"/>
      <c r="D97" s="59"/>
      <c r="E97" s="59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8"/>
    </row>
    <row r="98" spans="2:34" s="44" customFormat="1" ht="6.95" customHeight="1" x14ac:dyDescent="0.25" hidden="true">
      <c r="B98" s="59"/>
      <c r="C98" s="59"/>
      <c r="D98" s="59"/>
      <c r="E98" s="59"/>
      <c r="F98" s="59"/>
      <c r="G98" s="59"/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21"/>
    </row>
    <row r="99" spans="2:34" s="44" customFormat="1" x14ac:dyDescent="0.25" hidden="true">
      <c r="B99" s="59"/>
      <c r="C99" s="59"/>
      <c r="D99" s="59"/>
      <c r="E99" s="59"/>
      <c r="F99" s="59"/>
      <c r="G99" s="59"/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8"/>
    </row>
    <row r="100" spans="2:34" s="44" customFormat="1" x14ac:dyDescent="0.25" hidden="true">
      <c r="B100" s="59"/>
      <c r="C100" s="59"/>
      <c r="D100" s="59"/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/>
      <c r="P100" s="59"/>
      <c r="Q100" s="59"/>
      <c r="R100" s="59"/>
      <c r="S100" s="59"/>
      <c r="T100" s="59"/>
      <c r="U100" s="59"/>
      <c r="V100" s="59"/>
      <c r="W100" s="59"/>
      <c r="X100" s="59"/>
      <c r="Y100" s="59"/>
      <c r="Z100" s="59"/>
      <c r="AA100" s="59"/>
      <c r="AB100" s="59"/>
      <c r="AC100" s="59"/>
      <c r="AD100" s="58"/>
    </row>
    <row r="101" spans="2:34" s="44" customFormat="1" x14ac:dyDescent="0.25" hidden="true">
      <c r="B101" s="59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58"/>
    </row>
    <row r="102" spans="2:34" s="44" customFormat="1" x14ac:dyDescent="0.25" hidden="true">
      <c r="B102" s="59" t="s">
        <v>577</v>
      </c>
      <c r="C102" s="59"/>
      <c r="D102" s="59"/>
      <c r="E102" s="59"/>
      <c r="F102" s="59"/>
      <c r="G102" s="59"/>
      <c r="H102" s="59"/>
      <c r="I102" s="59" t="s">
        <v>577</v>
      </c>
      <c r="J102" s="59"/>
      <c r="K102" s="59"/>
      <c r="L102" s="59"/>
      <c r="M102" s="59"/>
      <c r="N102" s="59"/>
      <c r="O102" s="59"/>
      <c r="P102" s="59" t="s">
        <v>577</v>
      </c>
      <c r="Q102" s="59"/>
      <c r="R102" s="59"/>
      <c r="S102" s="59"/>
      <c r="T102" s="59"/>
      <c r="U102" s="59"/>
      <c r="V102" s="59"/>
      <c r="W102" s="59" t="s">
        <v>577</v>
      </c>
      <c r="X102" s="59"/>
      <c r="Y102" s="59"/>
      <c r="Z102" s="59"/>
      <c r="AA102" s="59"/>
      <c r="AB102" s="59"/>
      <c r="AC102" s="59"/>
      <c r="AD102" s="58"/>
    </row>
    <row r="103" spans="2:34" s="44" customFormat="1" x14ac:dyDescent="0.25" hidden="true">
      <c r="B103" s="59"/>
      <c r="C103" s="59"/>
      <c r="D103" s="59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8"/>
    </row>
    <row r="104" spans="2:34" s="44" customFormat="1" x14ac:dyDescent="0.25" hidden="true">
      <c r="B104" s="59"/>
      <c r="C104" s="59"/>
      <c r="D104" s="59"/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8"/>
    </row>
    <row r="105" spans="2:34" s="44" customFormat="1" x14ac:dyDescent="0.25" hidden="true">
      <c r="B105" s="59"/>
      <c r="C105" s="59"/>
      <c r="D105" s="59"/>
      <c r="E105" s="59"/>
      <c r="F105" s="59"/>
      <c r="G105" s="59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8"/>
    </row>
    <row r="106" spans="2:34" s="44" customFormat="1" x14ac:dyDescent="0.25" hidden="true">
      <c r="B106" s="59"/>
      <c r="C106" s="59"/>
      <c r="D106" s="59"/>
      <c r="E106" s="59"/>
      <c r="F106" s="59"/>
      <c r="G106" s="59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59"/>
      <c r="S106" s="59"/>
      <c r="T106" s="59"/>
      <c r="U106" s="59"/>
      <c r="V106" s="59"/>
      <c r="W106" s="59"/>
      <c r="X106" s="59"/>
      <c r="Y106" s="59"/>
      <c r="Z106" s="59"/>
      <c r="AA106" s="59"/>
      <c r="AB106" s="59"/>
      <c r="AC106" s="59"/>
      <c r="AD106" s="58"/>
    </row>
    <row r="107" spans="2:34" s="44" customFormat="1" x14ac:dyDescent="0.25" hidden="true">
      <c r="B107" s="59"/>
      <c r="C107" s="59"/>
      <c r="D107" s="59"/>
      <c r="E107" s="59"/>
      <c r="F107" s="59"/>
      <c r="G107" s="59"/>
      <c r="H107" s="59"/>
      <c r="I107" s="59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59"/>
      <c r="V107" s="59"/>
      <c r="W107" s="59"/>
      <c r="X107" s="59"/>
      <c r="Y107" s="59"/>
      <c r="Z107" s="59"/>
      <c r="AA107" s="59"/>
      <c r="AB107" s="59"/>
      <c r="AC107" s="59"/>
      <c r="AD107" s="58"/>
    </row>
    <row r="108" spans="2:34" s="44" customFormat="1" x14ac:dyDescent="0.25" hidden="true">
      <c r="B108" s="59"/>
      <c r="C108" s="59"/>
      <c r="D108" s="59"/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8"/>
    </row>
    <row r="109" spans="2:34" s="1" customFormat="1" x14ac:dyDescent="0.25" hidden="true">
      <c r="B109" s="85" t="s">
        <v>223</v>
      </c>
      <c r="C109" s="85"/>
      <c r="D109" s="85"/>
      <c r="E109" s="85"/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  <c r="R109" s="86"/>
      <c r="S109" s="86"/>
      <c r="T109" s="85" t="s">
        <v>41</v>
      </c>
      <c r="U109" s="85"/>
      <c r="V109" s="85"/>
      <c r="W109" s="85"/>
      <c r="X109" s="85"/>
      <c r="Y109" s="85"/>
      <c r="Z109" s="85"/>
      <c r="AA109" s="85"/>
      <c r="AB109" s="85"/>
      <c r="AC109" s="86"/>
      <c r="AD109" s="86"/>
    </row>
    <row r="110" spans="2:34" s="1" customFormat="1" ht="15" customHeight="1" x14ac:dyDescent="0.25" hidden="true">
      <c r="B110" s="83"/>
      <c r="C110" s="83"/>
      <c r="D110" s="83"/>
      <c r="E110" s="83"/>
      <c r="F110" s="83"/>
      <c r="G110" s="83"/>
      <c r="H110" s="83"/>
      <c r="I110" s="83"/>
      <c r="J110" s="83"/>
      <c r="K110" s="83"/>
      <c r="L110" s="83"/>
      <c r="M110" s="83"/>
      <c r="N110" s="83"/>
      <c r="O110" s="83"/>
      <c r="P110" s="83"/>
      <c r="Q110" s="83"/>
      <c r="R110" s="83"/>
      <c r="S110" s="83"/>
      <c r="T110" s="83"/>
      <c r="U110" s="83"/>
      <c r="V110" s="83"/>
      <c r="W110" s="83"/>
      <c r="X110" s="83"/>
      <c r="Y110" s="83"/>
      <c r="Z110" s="83"/>
      <c r="AA110" s="83"/>
      <c r="AB110" s="83"/>
      <c r="AC110" s="83"/>
      <c r="AD110" s="83"/>
      <c r="AG110" s="1" t="str">
        <f>SUBSTITUTE(AH110,",","; ")</f>
        <v/>
      </c>
      <c r="AH110" s="1"/>
    </row>
    <row r="111" spans="2:34" s="1" customFormat="1" x14ac:dyDescent="0.25" hidden="true">
      <c r="B111" s="83"/>
      <c r="C111" s="83"/>
      <c r="D111" s="83"/>
      <c r="E111" s="83"/>
      <c r="F111" s="83"/>
      <c r="G111" s="83"/>
      <c r="H111" s="83"/>
      <c r="I111" s="83"/>
      <c r="J111" s="83"/>
      <c r="K111" s="83"/>
      <c r="L111" s="83"/>
      <c r="M111" s="83"/>
      <c r="N111" s="83"/>
      <c r="O111" s="83"/>
      <c r="P111" s="83"/>
      <c r="Q111" s="83"/>
      <c r="R111" s="83"/>
      <c r="S111" s="83"/>
      <c r="T111" s="83"/>
      <c r="U111" s="83"/>
      <c r="V111" s="83"/>
      <c r="W111" s="83"/>
      <c r="X111" s="83"/>
      <c r="Y111" s="83"/>
      <c r="Z111" s="83"/>
      <c r="AA111" s="83"/>
      <c r="AB111" s="83"/>
      <c r="AC111" s="83"/>
      <c r="AD111" s="83"/>
      <c r="AG111" s="1" t="str">
        <f t="shared" ref="AG111:AG119" si="2">SUBSTITUTE(AH111,",","; ")</f>
        <v/>
      </c>
      <c r="AH111" s="1"/>
    </row>
    <row r="112" spans="2:34" s="1" customFormat="1" ht="7.5" customHeight="1" x14ac:dyDescent="0.25" hidden="true"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V112" s="2"/>
      <c r="W112" s="2"/>
      <c r="X112" s="2"/>
      <c r="Y112" s="2"/>
      <c r="Z112" s="2"/>
      <c r="AA112" s="2"/>
      <c r="AB112" s="2"/>
      <c r="AC112" s="2"/>
      <c r="AG112" s="1" t="str">
        <f t="shared" si="2"/>
        <v/>
      </c>
    </row>
    <row r="113" spans="2:34" s="1" customFormat="1" x14ac:dyDescent="0.25" hidden="true">
      <c r="B113" s="80"/>
      <c r="C113" s="81"/>
      <c r="D113" s="81"/>
      <c r="E113" s="81"/>
      <c r="F113" s="81"/>
      <c r="G113" s="81"/>
      <c r="H113" s="81"/>
      <c r="I113" s="81"/>
      <c r="J113" s="81"/>
      <c r="K113" s="82"/>
      <c r="L113" s="80"/>
      <c r="M113" s="81"/>
      <c r="N113" s="81"/>
      <c r="O113" s="81"/>
      <c r="P113" s="81"/>
      <c r="Q113" s="81"/>
      <c r="R113" s="81"/>
      <c r="S113" s="81"/>
      <c r="T113" s="81"/>
      <c r="U113" s="82"/>
      <c r="V113" s="80"/>
      <c r="W113" s="81"/>
      <c r="X113" s="81"/>
      <c r="Y113" s="81"/>
      <c r="Z113" s="81"/>
      <c r="AA113" s="81"/>
      <c r="AB113" s="81"/>
      <c r="AC113" s="81"/>
      <c r="AD113" s="82"/>
      <c r="AG113" s="1" t="str">
        <f t="shared" si="2"/>
        <v/>
      </c>
      <c r="AH113" s="1"/>
    </row>
    <row r="114" spans="2:34" s="1" customFormat="1" x14ac:dyDescent="0.25" hidden="true">
      <c r="B114" s="72" t="s">
        <v>42</v>
      </c>
      <c r="C114" s="73"/>
      <c r="D114" s="73"/>
      <c r="E114" s="73"/>
      <c r="F114" s="73"/>
      <c r="G114" s="73"/>
      <c r="H114" s="73"/>
      <c r="I114" s="74"/>
      <c r="J114" s="74"/>
      <c r="K114" s="32"/>
      <c r="L114" s="72" t="s">
        <v>42</v>
      </c>
      <c r="M114" s="73"/>
      <c r="N114" s="73"/>
      <c r="O114" s="73"/>
      <c r="P114" s="73"/>
      <c r="Q114" s="73"/>
      <c r="R114" s="73"/>
      <c r="S114" s="74"/>
      <c r="T114" s="74"/>
      <c r="U114" s="31"/>
      <c r="V114" s="30" t="s">
        <v>42</v>
      </c>
      <c r="W114" s="30"/>
      <c r="X114" s="30"/>
      <c r="Y114" s="30"/>
      <c r="Z114" s="30"/>
      <c r="AA114" s="30"/>
      <c r="AB114" s="55"/>
      <c r="AC114" s="74"/>
      <c r="AD114" s="84"/>
      <c r="AG114" s="1" t="str">
        <f t="shared" si="2"/>
        <v/>
      </c>
      <c r="AH114" s="1"/>
    </row>
    <row r="115" spans="2:34" s="1" customFormat="1" ht="15" customHeight="1" x14ac:dyDescent="0.25" hidden="true">
      <c r="B115" s="77" t="s">
        <v>43</v>
      </c>
      <c r="C115" s="78"/>
      <c r="D115" s="78"/>
      <c r="E115" s="78"/>
      <c r="F115" s="78"/>
      <c r="G115" s="78"/>
      <c r="H115" s="78"/>
      <c r="I115" s="78"/>
      <c r="J115" s="78"/>
      <c r="K115" s="79"/>
      <c r="L115" s="77" t="s">
        <v>43</v>
      </c>
      <c r="M115" s="78"/>
      <c r="N115" s="78"/>
      <c r="O115" s="78"/>
      <c r="P115" s="78"/>
      <c r="Q115" s="78"/>
      <c r="R115" s="78"/>
      <c r="S115" s="78"/>
      <c r="T115" s="78"/>
      <c r="U115" s="79"/>
      <c r="V115" s="77" t="s">
        <v>43</v>
      </c>
      <c r="W115" s="78"/>
      <c r="X115" s="78"/>
      <c r="Y115" s="78"/>
      <c r="Z115" s="78"/>
      <c r="AA115" s="78"/>
      <c r="AB115" s="78"/>
      <c r="AC115" s="78"/>
      <c r="AD115" s="79"/>
      <c r="AG115" s="1" t="str">
        <f t="shared" si="2"/>
        <v/>
      </c>
      <c r="AH115" s="1"/>
    </row>
    <row r="116" spans="2:34" s="1" customFormat="1" ht="15" customHeight="1" x14ac:dyDescent="0.25" hidden="true">
      <c r="B116" s="66" t="str">
        <f>AG110</f>
        <v/>
      </c>
      <c r="C116" s="67"/>
      <c r="D116" s="67"/>
      <c r="E116" s="67"/>
      <c r="F116" s="67"/>
      <c r="G116" s="67"/>
      <c r="H116" s="67"/>
      <c r="I116" s="67"/>
      <c r="J116" s="67"/>
      <c r="K116" s="68"/>
      <c r="L116" s="66" t="str">
        <f>AG111</f>
        <v/>
      </c>
      <c r="M116" s="67"/>
      <c r="N116" s="67"/>
      <c r="O116" s="67"/>
      <c r="P116" s="67"/>
      <c r="Q116" s="67"/>
      <c r="R116" s="67"/>
      <c r="S116" s="67"/>
      <c r="T116" s="67"/>
      <c r="U116" s="68"/>
      <c r="V116" s="66" t="str">
        <f>AG113</f>
        <v/>
      </c>
      <c r="W116" s="67"/>
      <c r="X116" s="67"/>
      <c r="Y116" s="67"/>
      <c r="Z116" s="67"/>
      <c r="AA116" s="67"/>
      <c r="AB116" s="67"/>
      <c r="AC116" s="67"/>
      <c r="AD116" s="68"/>
      <c r="AG116" s="1" t="str">
        <f t="shared" si="2"/>
        <v/>
      </c>
      <c r="AH116" s="1"/>
    </row>
    <row r="117" spans="2:34" s="1" customFormat="1" x14ac:dyDescent="0.25" hidden="true">
      <c r="B117" s="66"/>
      <c r="C117" s="67"/>
      <c r="D117" s="67"/>
      <c r="E117" s="67"/>
      <c r="F117" s="67"/>
      <c r="G117" s="67"/>
      <c r="H117" s="67"/>
      <c r="I117" s="67"/>
      <c r="J117" s="67"/>
      <c r="K117" s="68"/>
      <c r="L117" s="66"/>
      <c r="M117" s="67"/>
      <c r="N117" s="67"/>
      <c r="O117" s="67"/>
      <c r="P117" s="67"/>
      <c r="Q117" s="67"/>
      <c r="R117" s="67"/>
      <c r="S117" s="67"/>
      <c r="T117" s="67"/>
      <c r="U117" s="68"/>
      <c r="V117" s="66"/>
      <c r="W117" s="67"/>
      <c r="X117" s="67"/>
      <c r="Y117" s="67"/>
      <c r="Z117" s="67"/>
      <c r="AA117" s="67"/>
      <c r="AB117" s="67"/>
      <c r="AC117" s="67"/>
      <c r="AD117" s="68"/>
      <c r="AG117" s="1" t="str">
        <f t="shared" si="2"/>
        <v/>
      </c>
      <c r="AH117" s="1"/>
    </row>
    <row r="118" spans="2:34" s="1" customFormat="1" x14ac:dyDescent="0.25" hidden="true">
      <c r="B118" s="66"/>
      <c r="C118" s="67"/>
      <c r="D118" s="67"/>
      <c r="E118" s="67"/>
      <c r="F118" s="67"/>
      <c r="G118" s="67"/>
      <c r="H118" s="67"/>
      <c r="I118" s="67"/>
      <c r="J118" s="67"/>
      <c r="K118" s="68"/>
      <c r="L118" s="66"/>
      <c r="M118" s="67"/>
      <c r="N118" s="67"/>
      <c r="O118" s="67"/>
      <c r="P118" s="67"/>
      <c r="Q118" s="67"/>
      <c r="R118" s="67"/>
      <c r="S118" s="67"/>
      <c r="T118" s="67"/>
      <c r="U118" s="68"/>
      <c r="V118" s="66"/>
      <c r="W118" s="67"/>
      <c r="X118" s="67"/>
      <c r="Y118" s="67"/>
      <c r="Z118" s="67"/>
      <c r="AA118" s="67"/>
      <c r="AB118" s="67"/>
      <c r="AC118" s="67"/>
      <c r="AD118" s="68"/>
      <c r="AG118" s="1" t="str">
        <f t="shared" si="2"/>
        <v/>
      </c>
      <c r="AH118" s="57"/>
    </row>
    <row r="119" spans="2:34" s="1" customFormat="1" x14ac:dyDescent="0.25" hidden="true">
      <c r="B119" s="66"/>
      <c r="C119" s="67"/>
      <c r="D119" s="67"/>
      <c r="E119" s="67"/>
      <c r="F119" s="67"/>
      <c r="G119" s="67"/>
      <c r="H119" s="67"/>
      <c r="I119" s="67"/>
      <c r="J119" s="67"/>
      <c r="K119" s="68"/>
      <c r="L119" s="66"/>
      <c r="M119" s="67"/>
      <c r="N119" s="67"/>
      <c r="O119" s="67"/>
      <c r="P119" s="67"/>
      <c r="Q119" s="67"/>
      <c r="R119" s="67"/>
      <c r="S119" s="67"/>
      <c r="T119" s="67"/>
      <c r="U119" s="68"/>
      <c r="V119" s="66"/>
      <c r="W119" s="67"/>
      <c r="X119" s="67"/>
      <c r="Y119" s="67"/>
      <c r="Z119" s="67"/>
      <c r="AA119" s="67"/>
      <c r="AB119" s="67"/>
      <c r="AC119" s="67"/>
      <c r="AD119" s="68"/>
      <c r="AG119" s="1" t="str">
        <f t="shared" si="2"/>
        <v/>
      </c>
      <c r="AH119" s="57"/>
    </row>
    <row r="120" spans="2:34" s="1" customFormat="1" ht="6.95" customHeight="1" x14ac:dyDescent="0.25" hidden="true">
      <c r="B120" s="69"/>
      <c r="C120" s="70"/>
      <c r="D120" s="70"/>
      <c r="E120" s="70"/>
      <c r="F120" s="70"/>
      <c r="G120" s="70"/>
      <c r="H120" s="70"/>
      <c r="I120" s="70"/>
      <c r="J120" s="70"/>
      <c r="K120" s="71"/>
      <c r="L120" s="69"/>
      <c r="M120" s="70"/>
      <c r="N120" s="70"/>
      <c r="O120" s="70"/>
      <c r="P120" s="70"/>
      <c r="Q120" s="70"/>
      <c r="R120" s="70"/>
      <c r="S120" s="70"/>
      <c r="T120" s="70"/>
      <c r="U120" s="71"/>
      <c r="V120" s="69"/>
      <c r="W120" s="70"/>
      <c r="X120" s="70"/>
      <c r="Y120" s="70"/>
      <c r="Z120" s="70"/>
      <c r="AA120" s="70"/>
      <c r="AB120" s="70"/>
      <c r="AC120" s="70"/>
      <c r="AD120" s="71"/>
    </row>
    <row r="121" spans="2:34" s="1" customFormat="1" x14ac:dyDescent="0.25" hidden="true">
      <c r="B121" s="80"/>
      <c r="C121" s="81"/>
      <c r="D121" s="81"/>
      <c r="E121" s="81"/>
      <c r="F121" s="81"/>
      <c r="G121" s="81"/>
      <c r="H121" s="81"/>
      <c r="I121" s="81"/>
      <c r="J121" s="81"/>
      <c r="K121" s="82"/>
      <c r="L121" s="80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  <c r="AD121" s="82"/>
    </row>
    <row r="122" spans="2:34" s="1" customFormat="1" x14ac:dyDescent="0.25" hidden="true">
      <c r="B122" s="72" t="s">
        <v>42</v>
      </c>
      <c r="C122" s="73"/>
      <c r="D122" s="73"/>
      <c r="E122" s="73"/>
      <c r="F122" s="73"/>
      <c r="G122" s="73"/>
      <c r="H122" s="73"/>
      <c r="I122" s="74"/>
      <c r="J122" s="74"/>
      <c r="K122" s="32"/>
      <c r="L122" s="72" t="s">
        <v>42</v>
      </c>
      <c r="M122" s="73"/>
      <c r="N122" s="73"/>
      <c r="O122" s="73"/>
      <c r="P122" s="73"/>
      <c r="Q122" s="73"/>
      <c r="R122" s="73"/>
      <c r="S122" s="74"/>
      <c r="T122" s="74"/>
      <c r="U122" s="28"/>
      <c r="V122" s="35"/>
      <c r="W122" s="35"/>
      <c r="X122" s="35"/>
      <c r="Y122" s="35"/>
      <c r="Z122" s="35"/>
      <c r="AA122" s="35"/>
      <c r="AB122" s="35"/>
      <c r="AC122" s="75"/>
      <c r="AD122" s="76"/>
    </row>
    <row r="123" spans="2:34" s="1" customFormat="1" ht="15" customHeight="1" x14ac:dyDescent="0.25" hidden="true">
      <c r="B123" s="77" t="s">
        <v>43</v>
      </c>
      <c r="C123" s="78"/>
      <c r="D123" s="78"/>
      <c r="E123" s="78"/>
      <c r="F123" s="78"/>
      <c r="G123" s="78"/>
      <c r="H123" s="78"/>
      <c r="I123" s="78"/>
      <c r="J123" s="78"/>
      <c r="K123" s="79"/>
      <c r="L123" s="77" t="s">
        <v>43</v>
      </c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D123" s="79"/>
    </row>
    <row r="124" spans="2:34" s="1" customFormat="1" ht="15" customHeight="1" x14ac:dyDescent="0.25" hidden="true">
      <c r="B124" s="66" t="str">
        <f>AG114</f>
        <v/>
      </c>
      <c r="C124" s="67"/>
      <c r="D124" s="67"/>
      <c r="E124" s="67"/>
      <c r="F124" s="67"/>
      <c r="G124" s="67"/>
      <c r="H124" s="67"/>
      <c r="I124" s="67"/>
      <c r="J124" s="67"/>
      <c r="K124" s="68"/>
      <c r="L124" s="66" t="str">
        <f>AG115</f>
        <v/>
      </c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  <c r="AA124" s="67"/>
      <c r="AB124" s="67"/>
      <c r="AC124" s="67"/>
      <c r="AD124" s="68"/>
    </row>
    <row r="125" spans="2:34" s="1" customFormat="1" x14ac:dyDescent="0.25" hidden="true">
      <c r="B125" s="66"/>
      <c r="C125" s="67"/>
      <c r="D125" s="67"/>
      <c r="E125" s="67"/>
      <c r="F125" s="67"/>
      <c r="G125" s="67"/>
      <c r="H125" s="67"/>
      <c r="I125" s="67"/>
      <c r="J125" s="67"/>
      <c r="K125" s="68"/>
      <c r="L125" s="66"/>
      <c r="M125" s="67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  <c r="AA125" s="67"/>
      <c r="AB125" s="67"/>
      <c r="AC125" s="67"/>
      <c r="AD125" s="68"/>
    </row>
    <row r="126" spans="2:34" s="1" customFormat="1" x14ac:dyDescent="0.25" hidden="true">
      <c r="B126" s="66"/>
      <c r="C126" s="67"/>
      <c r="D126" s="67"/>
      <c r="E126" s="67"/>
      <c r="F126" s="67"/>
      <c r="G126" s="67"/>
      <c r="H126" s="67"/>
      <c r="I126" s="67"/>
      <c r="J126" s="67"/>
      <c r="K126" s="68"/>
      <c r="L126" s="66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  <c r="AA126" s="67"/>
      <c r="AB126" s="67"/>
      <c r="AC126" s="67"/>
      <c r="AD126" s="68"/>
    </row>
    <row r="127" spans="2:34" s="1" customFormat="1" x14ac:dyDescent="0.25" hidden="true">
      <c r="B127" s="66"/>
      <c r="C127" s="67"/>
      <c r="D127" s="67"/>
      <c r="E127" s="67"/>
      <c r="F127" s="67"/>
      <c r="G127" s="67"/>
      <c r="H127" s="67"/>
      <c r="I127" s="67"/>
      <c r="J127" s="67"/>
      <c r="K127" s="68"/>
      <c r="L127" s="66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  <c r="AD127" s="68"/>
    </row>
    <row r="128" spans="2:34" s="1" customFormat="1" ht="6.95" customHeight="1" x14ac:dyDescent="0.25" hidden="true">
      <c r="B128" s="69"/>
      <c r="C128" s="70"/>
      <c r="D128" s="70"/>
      <c r="E128" s="70"/>
      <c r="F128" s="70"/>
      <c r="G128" s="70"/>
      <c r="H128" s="70"/>
      <c r="I128" s="70"/>
      <c r="J128" s="70"/>
      <c r="K128" s="71"/>
      <c r="L128" s="69"/>
      <c r="M128" s="70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1"/>
    </row>
    <row r="129" spans="2:33" s="1" customFormat="1" x14ac:dyDescent="0.25" hidden="true">
      <c r="B129" s="60" t="s">
        <v>44</v>
      </c>
      <c r="C129" s="61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2"/>
      <c r="P129" s="60" t="s">
        <v>45</v>
      </c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2"/>
    </row>
    <row r="130" spans="2:33" s="1" customFormat="1" ht="15" customHeight="1" x14ac:dyDescent="0.25" hidden="true">
      <c r="B130" s="63" t="str">
        <f>AG116</f>
        <v/>
      </c>
      <c r="C130" s="64"/>
      <c r="D130" s="64"/>
      <c r="E130" s="64"/>
      <c r="F130" s="64"/>
      <c r="G130" s="64"/>
      <c r="H130" s="64"/>
      <c r="I130" s="64"/>
      <c r="J130" s="64"/>
      <c r="K130" s="64"/>
      <c r="L130" s="64"/>
      <c r="M130" s="64"/>
      <c r="N130" s="64"/>
      <c r="O130" s="65"/>
      <c r="P130" s="63" t="str">
        <f>AG117</f>
        <v/>
      </c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5"/>
    </row>
    <row r="131" spans="2:33" s="1" customFormat="1" ht="15" customHeight="1" x14ac:dyDescent="0.25" hidden="true">
      <c r="B131" s="66"/>
      <c r="C131" s="67"/>
      <c r="D131" s="67"/>
      <c r="E131" s="67"/>
      <c r="F131" s="67"/>
      <c r="G131" s="67"/>
      <c r="H131" s="67"/>
      <c r="I131" s="67"/>
      <c r="J131" s="67"/>
      <c r="K131" s="67"/>
      <c r="L131" s="67"/>
      <c r="M131" s="67"/>
      <c r="N131" s="67"/>
      <c r="O131" s="68"/>
      <c r="P131" s="66"/>
      <c r="Q131" s="67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  <c r="AD131" s="68"/>
    </row>
    <row r="132" spans="2:33" s="1" customFormat="1" x14ac:dyDescent="0.25" hidden="true">
      <c r="B132" s="66"/>
      <c r="C132" s="67"/>
      <c r="D132" s="67"/>
      <c r="E132" s="67"/>
      <c r="F132" s="67"/>
      <c r="G132" s="67"/>
      <c r="H132" s="67"/>
      <c r="I132" s="67"/>
      <c r="J132" s="67"/>
      <c r="K132" s="67"/>
      <c r="L132" s="67"/>
      <c r="M132" s="67"/>
      <c r="N132" s="67"/>
      <c r="O132" s="68"/>
      <c r="P132" s="66"/>
      <c r="Q132" s="67"/>
      <c r="R132" s="67"/>
      <c r="S132" s="67"/>
      <c r="T132" s="67"/>
      <c r="U132" s="67"/>
      <c r="V132" s="67"/>
      <c r="W132" s="67"/>
      <c r="X132" s="67"/>
      <c r="Y132" s="67"/>
      <c r="Z132" s="67"/>
      <c r="AA132" s="67"/>
      <c r="AB132" s="67"/>
      <c r="AC132" s="67"/>
      <c r="AD132" s="68"/>
    </row>
    <row r="133" spans="2:33" s="1" customFormat="1" x14ac:dyDescent="0.25" hidden="true">
      <c r="B133" s="69"/>
      <c r="C133" s="70"/>
      <c r="D133" s="70"/>
      <c r="E133" s="70"/>
      <c r="F133" s="70"/>
      <c r="G133" s="70"/>
      <c r="H133" s="70"/>
      <c r="I133" s="70"/>
      <c r="J133" s="70"/>
      <c r="K133" s="70"/>
      <c r="L133" s="70"/>
      <c r="M133" s="70"/>
      <c r="N133" s="70"/>
      <c r="O133" s="71"/>
      <c r="P133" s="69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1"/>
    </row>
    <row r="134" spans="2:33" s="1" customFormat="1" x14ac:dyDescent="0.25" hidden="true">
      <c r="B134" s="60" t="s">
        <v>46</v>
      </c>
      <c r="C134" s="61"/>
      <c r="D134" s="61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2"/>
      <c r="P134" s="60" t="s">
        <v>47</v>
      </c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2"/>
    </row>
    <row r="135" spans="2:33" s="1" customFormat="1" ht="15" customHeight="1" x14ac:dyDescent="0.25" hidden="true">
      <c r="B135" s="63" t="str">
        <f>AG118</f>
        <v/>
      </c>
      <c r="C135" s="64"/>
      <c r="D135" s="64"/>
      <c r="E135" s="64"/>
      <c r="F135" s="64"/>
      <c r="G135" s="64"/>
      <c r="H135" s="64"/>
      <c r="I135" s="64"/>
      <c r="J135" s="64"/>
      <c r="K135" s="64"/>
      <c r="L135" s="64"/>
      <c r="M135" s="64"/>
      <c r="N135" s="64"/>
      <c r="O135" s="65"/>
      <c r="P135" s="63" t="str">
        <f>AG119</f>
        <v/>
      </c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5"/>
    </row>
    <row r="136" spans="2:33" s="1" customFormat="1" ht="15" customHeight="1" x14ac:dyDescent="0.25" hidden="true">
      <c r="B136" s="66"/>
      <c r="C136" s="67"/>
      <c r="D136" s="67"/>
      <c r="E136" s="67"/>
      <c r="F136" s="67"/>
      <c r="G136" s="67"/>
      <c r="H136" s="67"/>
      <c r="I136" s="67"/>
      <c r="J136" s="67"/>
      <c r="K136" s="67"/>
      <c r="L136" s="67"/>
      <c r="M136" s="67"/>
      <c r="N136" s="67"/>
      <c r="O136" s="68"/>
      <c r="P136" s="66"/>
      <c r="Q136" s="67"/>
      <c r="R136" s="67"/>
      <c r="S136" s="67"/>
      <c r="T136" s="67"/>
      <c r="U136" s="67"/>
      <c r="V136" s="67"/>
      <c r="W136" s="67"/>
      <c r="X136" s="67"/>
      <c r="Y136" s="67"/>
      <c r="Z136" s="67"/>
      <c r="AA136" s="67"/>
      <c r="AB136" s="67"/>
      <c r="AC136" s="67"/>
      <c r="AD136" s="68"/>
    </row>
    <row r="137" spans="2:33" s="1" customFormat="1" x14ac:dyDescent="0.25" hidden="true">
      <c r="B137" s="69"/>
      <c r="C137" s="70"/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70"/>
      <c r="O137" s="71"/>
      <c r="P137" s="69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1"/>
      <c r="AF137"/>
      <c r="AG137"/>
    </row>
    <row r="138" spans="2:33" s="1" customFormat="1" ht="6.95" customHeight="1" x14ac:dyDescent="0.25" hidden="true"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F138"/>
    </row>
    <row r="139" spans="2:33" s="56" customFormat="1" x14ac:dyDescent="0.25" hidden="true">
      <c r="B139" s="59" t="s">
        <v>577</v>
      </c>
      <c r="C139" s="59"/>
      <c r="D139" s="59"/>
      <c r="E139" s="59"/>
      <c r="F139" s="59"/>
      <c r="G139" s="59"/>
      <c r="H139" s="59"/>
      <c r="I139" s="59" t="s">
        <v>577</v>
      </c>
      <c r="J139" s="59"/>
      <c r="K139" s="59"/>
      <c r="L139" s="59"/>
      <c r="M139" s="59"/>
      <c r="N139" s="59"/>
      <c r="O139" s="59"/>
      <c r="P139" s="59" t="s">
        <v>577</v>
      </c>
      <c r="Q139" s="59"/>
      <c r="R139" s="59"/>
      <c r="S139" s="59"/>
      <c r="T139" s="59"/>
      <c r="U139" s="59"/>
      <c r="V139" s="59"/>
      <c r="W139" s="59" t="s">
        <v>577</v>
      </c>
      <c r="X139" s="59"/>
      <c r="Y139" s="59"/>
      <c r="Z139" s="59"/>
      <c r="AA139" s="59"/>
      <c r="AB139" s="59"/>
      <c r="AC139" s="59"/>
      <c r="AD139" s="58"/>
    </row>
    <row r="140" spans="2:33" s="56" customFormat="1" x14ac:dyDescent="0.25" hidden="true">
      <c r="B140" s="59"/>
      <c r="C140" s="59"/>
      <c r="D140" s="59"/>
      <c r="E140" s="59"/>
      <c r="F140" s="59"/>
      <c r="G140" s="59"/>
      <c r="H140" s="59"/>
      <c r="I140" s="59"/>
      <c r="J140" s="59"/>
      <c r="K140" s="59"/>
      <c r="L140" s="59"/>
      <c r="M140" s="59"/>
      <c r="N140" s="59"/>
      <c r="O140" s="59"/>
      <c r="P140" s="59"/>
      <c r="Q140" s="59"/>
      <c r="R140" s="59"/>
      <c r="S140" s="59"/>
      <c r="T140" s="59"/>
      <c r="U140" s="59"/>
      <c r="V140" s="59"/>
      <c r="W140" s="59"/>
      <c r="X140" s="59"/>
      <c r="Y140" s="59"/>
      <c r="Z140" s="59"/>
      <c r="AA140" s="59"/>
      <c r="AB140" s="59"/>
      <c r="AC140" s="59"/>
      <c r="AD140" s="58"/>
    </row>
    <row r="141" spans="2:33" s="56" customFormat="1" x14ac:dyDescent="0.25" hidden="true">
      <c r="B141" s="59"/>
      <c r="C141" s="59"/>
      <c r="D141" s="59"/>
      <c r="E141" s="59"/>
      <c r="F141" s="59"/>
      <c r="G141" s="59"/>
      <c r="H141" s="59"/>
      <c r="I141" s="59"/>
      <c r="J141" s="59"/>
      <c r="K141" s="59"/>
      <c r="L141" s="59"/>
      <c r="M141" s="59"/>
      <c r="N141" s="59"/>
      <c r="O141" s="59"/>
      <c r="P141" s="59"/>
      <c r="Q141" s="59"/>
      <c r="R141" s="59"/>
      <c r="S141" s="59"/>
      <c r="T141" s="59"/>
      <c r="U141" s="59"/>
      <c r="V141" s="59"/>
      <c r="W141" s="59"/>
      <c r="X141" s="59"/>
      <c r="Y141" s="59"/>
      <c r="Z141" s="59"/>
      <c r="AA141" s="59"/>
      <c r="AB141" s="59"/>
      <c r="AC141" s="59"/>
      <c r="AD141" s="58"/>
    </row>
    <row r="142" spans="2:33" s="56" customFormat="1" x14ac:dyDescent="0.25" hidden="true">
      <c r="B142" s="59"/>
      <c r="C142" s="59"/>
      <c r="D142" s="59"/>
      <c r="E142" s="59"/>
      <c r="F142" s="59"/>
      <c r="G142" s="59"/>
      <c r="H142" s="59"/>
      <c r="I142" s="59"/>
      <c r="J142" s="59"/>
      <c r="K142" s="59"/>
      <c r="L142" s="59"/>
      <c r="M142" s="59"/>
      <c r="N142" s="59"/>
      <c r="O142" s="59"/>
      <c r="P142" s="59"/>
      <c r="Q142" s="59"/>
      <c r="R142" s="59"/>
      <c r="S142" s="59"/>
      <c r="T142" s="59"/>
      <c r="U142" s="59"/>
      <c r="V142" s="59"/>
      <c r="W142" s="59"/>
      <c r="X142" s="59"/>
      <c r="Y142" s="59"/>
      <c r="Z142" s="59"/>
      <c r="AA142" s="59"/>
      <c r="AB142" s="59"/>
      <c r="AC142" s="59"/>
      <c r="AD142" s="58"/>
    </row>
    <row r="143" spans="2:33" s="56" customFormat="1" x14ac:dyDescent="0.25" hidden="true">
      <c r="B143" s="59"/>
      <c r="C143" s="59"/>
      <c r="D143" s="59"/>
      <c r="E143" s="59"/>
      <c r="F143" s="59"/>
      <c r="G143" s="59"/>
      <c r="H143" s="59"/>
      <c r="I143" s="59"/>
      <c r="J143" s="59"/>
      <c r="K143" s="59"/>
      <c r="L143" s="59"/>
      <c r="M143" s="59"/>
      <c r="N143" s="59"/>
      <c r="O143" s="59"/>
      <c r="P143" s="59"/>
      <c r="Q143" s="59"/>
      <c r="R143" s="59"/>
      <c r="S143" s="59"/>
      <c r="T143" s="59"/>
      <c r="U143" s="59"/>
      <c r="V143" s="59"/>
      <c r="W143" s="59"/>
      <c r="X143" s="59"/>
      <c r="Y143" s="59"/>
      <c r="Z143" s="59"/>
      <c r="AA143" s="59"/>
      <c r="AB143" s="59"/>
      <c r="AC143" s="59"/>
      <c r="AD143" s="58"/>
    </row>
    <row r="144" spans="2:33" s="56" customFormat="1" x14ac:dyDescent="0.25" hidden="true">
      <c r="B144" s="59"/>
      <c r="C144" s="59"/>
      <c r="D144" s="59"/>
      <c r="E144" s="59"/>
      <c r="F144" s="59"/>
      <c r="G144" s="59"/>
      <c r="H144" s="59"/>
      <c r="I144" s="59"/>
      <c r="J144" s="59"/>
      <c r="K144" s="59"/>
      <c r="L144" s="59"/>
      <c r="M144" s="59"/>
      <c r="N144" s="59"/>
      <c r="O144" s="59"/>
      <c r="P144" s="59"/>
      <c r="Q144" s="59"/>
      <c r="R144" s="59"/>
      <c r="S144" s="59"/>
      <c r="T144" s="59"/>
      <c r="U144" s="59"/>
      <c r="V144" s="59"/>
      <c r="W144" s="59"/>
      <c r="X144" s="59"/>
      <c r="Y144" s="59"/>
      <c r="Z144" s="59"/>
      <c r="AA144" s="59"/>
      <c r="AB144" s="59"/>
      <c r="AC144" s="59"/>
      <c r="AD144" s="58"/>
    </row>
    <row r="145" spans="2:30" s="44" customFormat="1" x14ac:dyDescent="0.25" hidden="true">
      <c r="B145" s="59"/>
      <c r="C145" s="59"/>
      <c r="D145" s="59"/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8"/>
    </row>
    <row r="146" spans="2:30" s="44" customFormat="1" x14ac:dyDescent="0.25" hidden="true">
      <c r="B146" s="59" t="s">
        <v>577</v>
      </c>
      <c r="C146" s="59"/>
      <c r="D146" s="59"/>
      <c r="E146" s="59"/>
      <c r="F146" s="59"/>
      <c r="G146" s="59"/>
      <c r="H146" s="59"/>
      <c r="I146" s="59" t="s">
        <v>577</v>
      </c>
      <c r="J146" s="59"/>
      <c r="K146" s="59"/>
      <c r="L146" s="59"/>
      <c r="M146" s="59"/>
      <c r="N146" s="59"/>
      <c r="O146" s="59"/>
      <c r="P146" s="59" t="s">
        <v>577</v>
      </c>
      <c r="Q146" s="59"/>
      <c r="R146" s="59"/>
      <c r="S146" s="59"/>
      <c r="T146" s="59"/>
      <c r="U146" s="59"/>
      <c r="V146" s="59"/>
      <c r="W146" s="59" t="s">
        <v>577</v>
      </c>
      <c r="X146" s="59"/>
      <c r="Y146" s="59"/>
      <c r="Z146" s="59"/>
      <c r="AA146" s="59"/>
      <c r="AB146" s="59"/>
      <c r="AC146" s="59"/>
      <c r="AD146" s="58"/>
    </row>
    <row r="147" spans="2:30" s="44" customFormat="1" x14ac:dyDescent="0.25" hidden="true">
      <c r="B147" s="59"/>
      <c r="C147" s="59"/>
      <c r="D147" s="59"/>
      <c r="E147" s="59"/>
      <c r="F147" s="59"/>
      <c r="G147" s="59"/>
      <c r="H147" s="59"/>
      <c r="I147" s="59"/>
      <c r="J147" s="59"/>
      <c r="K147" s="59"/>
      <c r="L147" s="59"/>
      <c r="M147" s="59"/>
      <c r="N147" s="59"/>
      <c r="O147" s="59"/>
      <c r="P147" s="59"/>
      <c r="Q147" s="59"/>
      <c r="R147" s="59"/>
      <c r="S147" s="59"/>
      <c r="T147" s="59"/>
      <c r="U147" s="59"/>
      <c r="V147" s="59"/>
      <c r="W147" s="59"/>
      <c r="X147" s="59"/>
      <c r="Y147" s="59"/>
      <c r="Z147" s="59"/>
      <c r="AA147" s="59"/>
      <c r="AB147" s="59"/>
      <c r="AC147" s="59"/>
      <c r="AD147" s="58"/>
    </row>
    <row r="148" spans="2:30" s="44" customFormat="1" x14ac:dyDescent="0.25" hidden="true">
      <c r="B148" s="59"/>
      <c r="C148" s="59"/>
      <c r="D148" s="59"/>
      <c r="E148" s="59"/>
      <c r="F148" s="59"/>
      <c r="G148" s="59"/>
      <c r="H148" s="59"/>
      <c r="I148" s="59"/>
      <c r="J148" s="59"/>
      <c r="K148" s="59"/>
      <c r="L148" s="59"/>
      <c r="M148" s="59"/>
      <c r="N148" s="59"/>
      <c r="O148" s="59"/>
      <c r="P148" s="59"/>
      <c r="Q148" s="59"/>
      <c r="R148" s="59"/>
      <c r="S148" s="59"/>
      <c r="T148" s="59"/>
      <c r="U148" s="59"/>
      <c r="V148" s="59"/>
      <c r="W148" s="59"/>
      <c r="X148" s="59"/>
      <c r="Y148" s="59"/>
      <c r="Z148" s="59"/>
      <c r="AA148" s="59"/>
      <c r="AB148" s="59"/>
      <c r="AC148" s="59"/>
      <c r="AD148" s="58"/>
    </row>
    <row r="149" spans="2:30" s="44" customFormat="1" ht="6.95" customHeight="1" x14ac:dyDescent="0.25" hidden="true">
      <c r="B149" s="59"/>
      <c r="C149" s="59"/>
      <c r="D149" s="59"/>
      <c r="E149" s="59"/>
      <c r="F149" s="59"/>
      <c r="G149" s="59"/>
      <c r="H149" s="59"/>
      <c r="I149" s="59"/>
      <c r="J149" s="59"/>
      <c r="K149" s="59"/>
      <c r="L149" s="59"/>
      <c r="M149" s="59"/>
      <c r="N149" s="59"/>
      <c r="O149" s="59"/>
      <c r="P149" s="59"/>
      <c r="Q149" s="59"/>
      <c r="R149" s="59"/>
      <c r="S149" s="59"/>
      <c r="T149" s="59"/>
      <c r="U149" s="59"/>
      <c r="V149" s="59"/>
      <c r="W149" s="59"/>
      <c r="X149" s="59"/>
      <c r="Y149" s="59"/>
      <c r="Z149" s="59"/>
      <c r="AA149" s="59"/>
      <c r="AB149" s="59"/>
      <c r="AC149" s="59"/>
      <c r="AD149" s="21"/>
    </row>
    <row r="150" spans="2:30" s="44" customFormat="1" x14ac:dyDescent="0.25" hidden="true">
      <c r="B150" s="59"/>
      <c r="C150" s="59"/>
      <c r="D150" s="59"/>
      <c r="E150" s="59"/>
      <c r="F150" s="59"/>
      <c r="G150" s="59"/>
      <c r="H150" s="59"/>
      <c r="I150" s="59"/>
      <c r="J150" s="59"/>
      <c r="K150" s="59"/>
      <c r="L150" s="59"/>
      <c r="M150" s="59"/>
      <c r="N150" s="59"/>
      <c r="O150" s="59"/>
      <c r="P150" s="59"/>
      <c r="Q150" s="59"/>
      <c r="R150" s="59"/>
      <c r="S150" s="59"/>
      <c r="T150" s="59"/>
      <c r="U150" s="59"/>
      <c r="V150" s="59"/>
      <c r="W150" s="59"/>
      <c r="X150" s="59"/>
      <c r="Y150" s="59"/>
      <c r="Z150" s="59"/>
      <c r="AA150" s="59"/>
      <c r="AB150" s="59"/>
      <c r="AC150" s="59"/>
      <c r="AD150" s="58"/>
    </row>
    <row r="151" spans="2:30" s="44" customFormat="1" x14ac:dyDescent="0.25" hidden="true">
      <c r="B151" s="59"/>
      <c r="C151" s="59"/>
      <c r="D151" s="59"/>
      <c r="E151" s="59"/>
      <c r="F151" s="59"/>
      <c r="G151" s="59"/>
      <c r="H151" s="59"/>
      <c r="I151" s="59"/>
      <c r="J151" s="59"/>
      <c r="K151" s="59"/>
      <c r="L151" s="59"/>
      <c r="M151" s="59"/>
      <c r="N151" s="59"/>
      <c r="O151" s="59"/>
      <c r="P151" s="59"/>
      <c r="Q151" s="59"/>
      <c r="R151" s="59"/>
      <c r="S151" s="59"/>
      <c r="T151" s="59"/>
      <c r="U151" s="59"/>
      <c r="V151" s="59"/>
      <c r="W151" s="59"/>
      <c r="X151" s="59"/>
      <c r="Y151" s="59"/>
      <c r="Z151" s="59"/>
      <c r="AA151" s="59"/>
      <c r="AB151" s="59"/>
      <c r="AC151" s="59"/>
      <c r="AD151" s="58"/>
    </row>
    <row r="152" spans="2:30" s="44" customFormat="1" x14ac:dyDescent="0.25" hidden="true">
      <c r="B152" s="59"/>
      <c r="C152" s="59"/>
      <c r="D152" s="59"/>
      <c r="E152" s="59"/>
      <c r="F152" s="59"/>
      <c r="G152" s="59"/>
      <c r="H152" s="59"/>
      <c r="I152" s="59"/>
      <c r="J152" s="59"/>
      <c r="K152" s="59"/>
      <c r="L152" s="59"/>
      <c r="M152" s="59"/>
      <c r="N152" s="59"/>
      <c r="O152" s="59"/>
      <c r="P152" s="59"/>
      <c r="Q152" s="59"/>
      <c r="R152" s="59"/>
      <c r="S152" s="59"/>
      <c r="T152" s="59"/>
      <c r="U152" s="59"/>
      <c r="V152" s="59"/>
      <c r="W152" s="59"/>
      <c r="X152" s="59"/>
      <c r="Y152" s="59"/>
      <c r="Z152" s="59"/>
      <c r="AA152" s="59"/>
      <c r="AB152" s="59"/>
      <c r="AC152" s="59"/>
      <c r="AD152" s="58"/>
    </row>
    <row r="153" spans="2:30" s="44" customFormat="1" x14ac:dyDescent="0.25" hidden="true">
      <c r="B153" s="59" t="s">
        <v>577</v>
      </c>
      <c r="C153" s="59"/>
      <c r="D153" s="59"/>
      <c r="E153" s="59"/>
      <c r="F153" s="59"/>
      <c r="G153" s="59"/>
      <c r="H153" s="59"/>
      <c r="I153" s="59" t="s">
        <v>577</v>
      </c>
      <c r="J153" s="59"/>
      <c r="K153" s="59"/>
      <c r="L153" s="59"/>
      <c r="M153" s="59"/>
      <c r="N153" s="59"/>
      <c r="O153" s="59"/>
      <c r="P153" s="59" t="s">
        <v>577</v>
      </c>
      <c r="Q153" s="59"/>
      <c r="R153" s="59"/>
      <c r="S153" s="59"/>
      <c r="T153" s="59"/>
      <c r="U153" s="59"/>
      <c r="V153" s="59"/>
      <c r="W153" s="59" t="s">
        <v>577</v>
      </c>
      <c r="X153" s="59"/>
      <c r="Y153" s="59"/>
      <c r="Z153" s="59"/>
      <c r="AA153" s="59"/>
      <c r="AB153" s="59"/>
      <c r="AC153" s="59"/>
      <c r="AD153" s="58"/>
    </row>
    <row r="154" spans="2:30" s="44" customFormat="1" x14ac:dyDescent="0.25" hidden="true">
      <c r="B154" s="59"/>
      <c r="C154" s="59"/>
      <c r="D154" s="59"/>
      <c r="E154" s="59"/>
      <c r="F154" s="59"/>
      <c r="G154" s="59"/>
      <c r="H154" s="59"/>
      <c r="I154" s="59"/>
      <c r="J154" s="59"/>
      <c r="K154" s="59"/>
      <c r="L154" s="59"/>
      <c r="M154" s="59"/>
      <c r="N154" s="59"/>
      <c r="O154" s="59"/>
      <c r="P154" s="59"/>
      <c r="Q154" s="59"/>
      <c r="R154" s="59"/>
      <c r="S154" s="59"/>
      <c r="T154" s="59"/>
      <c r="U154" s="59"/>
      <c r="V154" s="59"/>
      <c r="W154" s="59"/>
      <c r="X154" s="59"/>
      <c r="Y154" s="59"/>
      <c r="Z154" s="59"/>
      <c r="AA154" s="59"/>
      <c r="AB154" s="59"/>
      <c r="AC154" s="59"/>
      <c r="AD154" s="58"/>
    </row>
    <row r="155" spans="2:30" s="44" customFormat="1" x14ac:dyDescent="0.25" hidden="true">
      <c r="B155" s="59"/>
      <c r="C155" s="59"/>
      <c r="D155" s="59"/>
      <c r="E155" s="59"/>
      <c r="F155" s="59"/>
      <c r="G155" s="59"/>
      <c r="H155" s="59"/>
      <c r="I155" s="59"/>
      <c r="J155" s="59"/>
      <c r="K155" s="59"/>
      <c r="L155" s="59"/>
      <c r="M155" s="59"/>
      <c r="N155" s="59"/>
      <c r="O155" s="59"/>
      <c r="P155" s="59"/>
      <c r="Q155" s="59"/>
      <c r="R155" s="59"/>
      <c r="S155" s="59"/>
      <c r="T155" s="59"/>
      <c r="U155" s="59"/>
      <c r="V155" s="59"/>
      <c r="W155" s="59"/>
      <c r="X155" s="59"/>
      <c r="Y155" s="59"/>
      <c r="Z155" s="59"/>
      <c r="AA155" s="59"/>
      <c r="AB155" s="59"/>
      <c r="AC155" s="59"/>
      <c r="AD155" s="58"/>
    </row>
    <row r="156" spans="2:30" s="44" customFormat="1" x14ac:dyDescent="0.25" hidden="true">
      <c r="B156" s="59"/>
      <c r="C156" s="59"/>
      <c r="D156" s="59"/>
      <c r="E156" s="59"/>
      <c r="F156" s="59"/>
      <c r="G156" s="59"/>
      <c r="H156" s="59"/>
      <c r="I156" s="59"/>
      <c r="J156" s="59"/>
      <c r="K156" s="59"/>
      <c r="L156" s="59"/>
      <c r="M156" s="59"/>
      <c r="N156" s="59"/>
      <c r="O156" s="59"/>
      <c r="P156" s="59"/>
      <c r="Q156" s="59"/>
      <c r="R156" s="59"/>
      <c r="S156" s="59"/>
      <c r="T156" s="59"/>
      <c r="U156" s="59"/>
      <c r="V156" s="59"/>
      <c r="W156" s="59"/>
      <c r="X156" s="59"/>
      <c r="Y156" s="59"/>
      <c r="Z156" s="59"/>
      <c r="AA156" s="59"/>
      <c r="AB156" s="59"/>
      <c r="AC156" s="59"/>
      <c r="AD156" s="58"/>
    </row>
    <row r="157" spans="2:30" s="44" customFormat="1" x14ac:dyDescent="0.25" hidden="true">
      <c r="B157" s="59"/>
      <c r="C157" s="59"/>
      <c r="D157" s="59"/>
      <c r="E157" s="59"/>
      <c r="F157" s="59"/>
      <c r="G157" s="59"/>
      <c r="H157" s="59"/>
      <c r="I157" s="59"/>
      <c r="J157" s="59"/>
      <c r="K157" s="59"/>
      <c r="L157" s="59"/>
      <c r="M157" s="59"/>
      <c r="N157" s="59"/>
      <c r="O157" s="59"/>
      <c r="P157" s="59"/>
      <c r="Q157" s="59"/>
      <c r="R157" s="59"/>
      <c r="S157" s="59"/>
      <c r="T157" s="59"/>
      <c r="U157" s="59"/>
      <c r="V157" s="59"/>
      <c r="W157" s="59"/>
      <c r="X157" s="59"/>
      <c r="Y157" s="59"/>
      <c r="Z157" s="59"/>
      <c r="AA157" s="59"/>
      <c r="AB157" s="59"/>
      <c r="AC157" s="59"/>
      <c r="AD157" s="58"/>
    </row>
    <row r="158" spans="2:30" s="44" customFormat="1" x14ac:dyDescent="0.25" hidden="true">
      <c r="B158" s="59"/>
      <c r="C158" s="59"/>
      <c r="D158" s="59"/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59"/>
      <c r="P158" s="59"/>
      <c r="Q158" s="59"/>
      <c r="R158" s="59"/>
      <c r="S158" s="59"/>
      <c r="T158" s="59"/>
      <c r="U158" s="59"/>
      <c r="V158" s="59"/>
      <c r="W158" s="59"/>
      <c r="X158" s="59"/>
      <c r="Y158" s="59"/>
      <c r="Z158" s="59"/>
      <c r="AA158" s="59"/>
      <c r="AB158" s="59"/>
      <c r="AC158" s="59"/>
      <c r="AD158" s="58"/>
    </row>
    <row r="159" spans="2:30" s="44" customFormat="1" x14ac:dyDescent="0.25" hidden="true">
      <c r="B159" s="59"/>
      <c r="C159" s="59"/>
      <c r="D159" s="59"/>
      <c r="E159" s="59"/>
      <c r="F159" s="59"/>
      <c r="G159" s="59"/>
      <c r="H159" s="59"/>
      <c r="I159" s="59"/>
      <c r="J159" s="59"/>
      <c r="K159" s="59"/>
      <c r="L159" s="59"/>
      <c r="M159" s="59"/>
      <c r="N159" s="59"/>
      <c r="O159" s="59"/>
      <c r="P159" s="59"/>
      <c r="Q159" s="59"/>
      <c r="R159" s="59"/>
      <c r="S159" s="59"/>
      <c r="T159" s="59"/>
      <c r="U159" s="59"/>
      <c r="V159" s="59"/>
      <c r="W159" s="59"/>
      <c r="X159" s="59"/>
      <c r="Y159" s="59"/>
      <c r="Z159" s="59"/>
      <c r="AA159" s="59"/>
      <c r="AB159" s="59"/>
      <c r="AC159" s="59"/>
      <c r="AD159" s="58"/>
    </row>
    <row r="160" spans="2:30" s="1" customFormat="1" x14ac:dyDescent="0.25" hidden="true">
      <c r="B160" s="85" t="s">
        <v>223</v>
      </c>
      <c r="C160" s="85"/>
      <c r="D160" s="85"/>
      <c r="E160" s="85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  <c r="R160" s="86"/>
      <c r="S160" s="86"/>
      <c r="T160" s="85" t="s">
        <v>41</v>
      </c>
      <c r="U160" s="85"/>
      <c r="V160" s="85"/>
      <c r="W160" s="85"/>
      <c r="X160" s="85"/>
      <c r="Y160" s="85"/>
      <c r="Z160" s="85"/>
      <c r="AA160" s="85"/>
      <c r="AB160" s="85"/>
      <c r="AC160" s="86"/>
      <c r="AD160" s="86"/>
    </row>
    <row r="161" spans="2:34" s="1" customFormat="1" ht="15" customHeight="1" x14ac:dyDescent="0.25" hidden="true">
      <c r="B161" s="83"/>
      <c r="C161" s="83"/>
      <c r="D161" s="83"/>
      <c r="E161" s="83"/>
      <c r="F161" s="83"/>
      <c r="G161" s="83"/>
      <c r="H161" s="83"/>
      <c r="I161" s="83"/>
      <c r="J161" s="83"/>
      <c r="K161" s="83"/>
      <c r="L161" s="83"/>
      <c r="M161" s="83"/>
      <c r="N161" s="83"/>
      <c r="O161" s="83"/>
      <c r="P161" s="83"/>
      <c r="Q161" s="83"/>
      <c r="R161" s="83"/>
      <c r="S161" s="83"/>
      <c r="T161" s="83"/>
      <c r="U161" s="83"/>
      <c r="V161" s="83"/>
      <c r="W161" s="83"/>
      <c r="X161" s="83"/>
      <c r="Y161" s="83"/>
      <c r="Z161" s="83"/>
      <c r="AA161" s="83"/>
      <c r="AB161" s="83"/>
      <c r="AC161" s="83"/>
      <c r="AD161" s="83"/>
      <c r="AG161" s="1" t="str">
        <f>SUBSTITUTE(AH161,",","; ")</f>
        <v/>
      </c>
      <c r="AH161" s="1"/>
    </row>
    <row r="162" spans="2:34" s="1" customFormat="1" x14ac:dyDescent="0.25" hidden="true">
      <c r="B162" s="83"/>
      <c r="C162" s="83"/>
      <c r="D162" s="83"/>
      <c r="E162" s="83"/>
      <c r="F162" s="83"/>
      <c r="G162" s="83"/>
      <c r="H162" s="83"/>
      <c r="I162" s="83"/>
      <c r="J162" s="83"/>
      <c r="K162" s="83"/>
      <c r="L162" s="83"/>
      <c r="M162" s="83"/>
      <c r="N162" s="83"/>
      <c r="O162" s="83"/>
      <c r="P162" s="83"/>
      <c r="Q162" s="83"/>
      <c r="R162" s="83"/>
      <c r="S162" s="83"/>
      <c r="T162" s="83"/>
      <c r="U162" s="83"/>
      <c r="V162" s="83"/>
      <c r="W162" s="83"/>
      <c r="X162" s="83"/>
      <c r="Y162" s="83"/>
      <c r="Z162" s="83"/>
      <c r="AA162" s="83"/>
      <c r="AB162" s="83"/>
      <c r="AC162" s="83"/>
      <c r="AD162" s="83"/>
      <c r="AG162" s="1" t="str">
        <f t="shared" ref="AG162:AG170" si="3">SUBSTITUTE(AH162,",","; ")</f>
        <v/>
      </c>
      <c r="AH162" s="1"/>
    </row>
    <row r="163" spans="2:34" s="1" customFormat="1" ht="7.5" customHeight="1" x14ac:dyDescent="0.25" hidden="true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V163" s="2"/>
      <c r="W163" s="2"/>
      <c r="X163" s="2"/>
      <c r="Y163" s="2"/>
      <c r="Z163" s="2"/>
      <c r="AA163" s="2"/>
      <c r="AB163" s="2"/>
      <c r="AC163" s="2"/>
      <c r="AG163" s="1" t="str">
        <f t="shared" si="3"/>
        <v/>
      </c>
    </row>
    <row r="164" spans="2:34" s="1" customFormat="1" x14ac:dyDescent="0.25" hidden="true">
      <c r="B164" s="80"/>
      <c r="C164" s="81"/>
      <c r="D164" s="81"/>
      <c r="E164" s="81"/>
      <c r="F164" s="81"/>
      <c r="G164" s="81"/>
      <c r="H164" s="81"/>
      <c r="I164" s="81"/>
      <c r="J164" s="81"/>
      <c r="K164" s="82"/>
      <c r="L164" s="80"/>
      <c r="M164" s="81"/>
      <c r="N164" s="81"/>
      <c r="O164" s="81"/>
      <c r="P164" s="81"/>
      <c r="Q164" s="81"/>
      <c r="R164" s="81"/>
      <c r="S164" s="81"/>
      <c r="T164" s="81"/>
      <c r="U164" s="82"/>
      <c r="V164" s="80"/>
      <c r="W164" s="81"/>
      <c r="X164" s="81"/>
      <c r="Y164" s="81"/>
      <c r="Z164" s="81"/>
      <c r="AA164" s="81"/>
      <c r="AB164" s="81"/>
      <c r="AC164" s="81"/>
      <c r="AD164" s="82"/>
      <c r="AG164" s="1" t="str">
        <f t="shared" si="3"/>
        <v/>
      </c>
      <c r="AH164" s="1"/>
    </row>
    <row r="165" spans="2:34" s="1" customFormat="1" x14ac:dyDescent="0.25" hidden="true">
      <c r="B165" s="72" t="s">
        <v>42</v>
      </c>
      <c r="C165" s="73"/>
      <c r="D165" s="73"/>
      <c r="E165" s="73"/>
      <c r="F165" s="73"/>
      <c r="G165" s="73"/>
      <c r="H165" s="73"/>
      <c r="I165" s="74"/>
      <c r="J165" s="74"/>
      <c r="K165" s="32"/>
      <c r="L165" s="72" t="s">
        <v>42</v>
      </c>
      <c r="M165" s="73"/>
      <c r="N165" s="73"/>
      <c r="O165" s="73"/>
      <c r="P165" s="73"/>
      <c r="Q165" s="73"/>
      <c r="R165" s="73"/>
      <c r="S165" s="74"/>
      <c r="T165" s="74"/>
      <c r="U165" s="31"/>
      <c r="V165" s="30" t="s">
        <v>42</v>
      </c>
      <c r="W165" s="30"/>
      <c r="X165" s="30"/>
      <c r="Y165" s="30"/>
      <c r="Z165" s="30"/>
      <c r="AA165" s="30"/>
      <c r="AB165" s="55"/>
      <c r="AC165" s="74"/>
      <c r="AD165" s="84"/>
      <c r="AG165" s="1" t="str">
        <f t="shared" si="3"/>
        <v/>
      </c>
      <c r="AH165" s="1"/>
    </row>
    <row r="166" spans="2:34" s="1" customFormat="1" ht="15" customHeight="1" x14ac:dyDescent="0.25" hidden="true">
      <c r="B166" s="77" t="s">
        <v>43</v>
      </c>
      <c r="C166" s="78"/>
      <c r="D166" s="78"/>
      <c r="E166" s="78"/>
      <c r="F166" s="78"/>
      <c r="G166" s="78"/>
      <c r="H166" s="78"/>
      <c r="I166" s="78"/>
      <c r="J166" s="78"/>
      <c r="K166" s="79"/>
      <c r="L166" s="77" t="s">
        <v>43</v>
      </c>
      <c r="M166" s="78"/>
      <c r="N166" s="78"/>
      <c r="O166" s="78"/>
      <c r="P166" s="78"/>
      <c r="Q166" s="78"/>
      <c r="R166" s="78"/>
      <c r="S166" s="78"/>
      <c r="T166" s="78"/>
      <c r="U166" s="79"/>
      <c r="V166" s="77" t="s">
        <v>43</v>
      </c>
      <c r="W166" s="78"/>
      <c r="X166" s="78"/>
      <c r="Y166" s="78"/>
      <c r="Z166" s="78"/>
      <c r="AA166" s="78"/>
      <c r="AB166" s="78"/>
      <c r="AC166" s="78"/>
      <c r="AD166" s="79"/>
      <c r="AG166" s="1" t="str">
        <f t="shared" si="3"/>
        <v/>
      </c>
      <c r="AH166" s="1"/>
    </row>
    <row r="167" spans="2:34" s="1" customFormat="1" ht="15" customHeight="1" x14ac:dyDescent="0.25" hidden="true">
      <c r="B167" s="66" t="str">
        <f>AG161</f>
        <v/>
      </c>
      <c r="C167" s="67"/>
      <c r="D167" s="67"/>
      <c r="E167" s="67"/>
      <c r="F167" s="67"/>
      <c r="G167" s="67"/>
      <c r="H167" s="67"/>
      <c r="I167" s="67"/>
      <c r="J167" s="67"/>
      <c r="K167" s="68"/>
      <c r="L167" s="66" t="str">
        <f>AG162</f>
        <v/>
      </c>
      <c r="M167" s="67"/>
      <c r="N167" s="67"/>
      <c r="O167" s="67"/>
      <c r="P167" s="67"/>
      <c r="Q167" s="67"/>
      <c r="R167" s="67"/>
      <c r="S167" s="67"/>
      <c r="T167" s="67"/>
      <c r="U167" s="68"/>
      <c r="V167" s="66" t="str">
        <f>AG164</f>
        <v/>
      </c>
      <c r="W167" s="67"/>
      <c r="X167" s="67"/>
      <c r="Y167" s="67"/>
      <c r="Z167" s="67"/>
      <c r="AA167" s="67"/>
      <c r="AB167" s="67"/>
      <c r="AC167" s="67"/>
      <c r="AD167" s="68"/>
      <c r="AG167" s="1" t="str">
        <f t="shared" si="3"/>
        <v/>
      </c>
      <c r="AH167" s="1"/>
    </row>
    <row r="168" spans="2:34" s="1" customFormat="1" x14ac:dyDescent="0.25" hidden="true">
      <c r="B168" s="66"/>
      <c r="C168" s="67"/>
      <c r="D168" s="67"/>
      <c r="E168" s="67"/>
      <c r="F168" s="67"/>
      <c r="G168" s="67"/>
      <c r="H168" s="67"/>
      <c r="I168" s="67"/>
      <c r="J168" s="67"/>
      <c r="K168" s="68"/>
      <c r="L168" s="66"/>
      <c r="M168" s="67"/>
      <c r="N168" s="67"/>
      <c r="O168" s="67"/>
      <c r="P168" s="67"/>
      <c r="Q168" s="67"/>
      <c r="R168" s="67"/>
      <c r="S168" s="67"/>
      <c r="T168" s="67"/>
      <c r="U168" s="68"/>
      <c r="V168" s="66"/>
      <c r="W168" s="67"/>
      <c r="X168" s="67"/>
      <c r="Y168" s="67"/>
      <c r="Z168" s="67"/>
      <c r="AA168" s="67"/>
      <c r="AB168" s="67"/>
      <c r="AC168" s="67"/>
      <c r="AD168" s="68"/>
      <c r="AG168" s="1" t="str">
        <f t="shared" si="3"/>
        <v/>
      </c>
      <c r="AH168" s="1"/>
    </row>
    <row r="169" spans="2:34" s="1" customFormat="1" x14ac:dyDescent="0.25" hidden="true">
      <c r="B169" s="66"/>
      <c r="C169" s="67"/>
      <c r="D169" s="67"/>
      <c r="E169" s="67"/>
      <c r="F169" s="67"/>
      <c r="G169" s="67"/>
      <c r="H169" s="67"/>
      <c r="I169" s="67"/>
      <c r="J169" s="67"/>
      <c r="K169" s="68"/>
      <c r="L169" s="66"/>
      <c r="M169" s="67"/>
      <c r="N169" s="67"/>
      <c r="O169" s="67"/>
      <c r="P169" s="67"/>
      <c r="Q169" s="67"/>
      <c r="R169" s="67"/>
      <c r="S169" s="67"/>
      <c r="T169" s="67"/>
      <c r="U169" s="68"/>
      <c r="V169" s="66"/>
      <c r="W169" s="67"/>
      <c r="X169" s="67"/>
      <c r="Y169" s="67"/>
      <c r="Z169" s="67"/>
      <c r="AA169" s="67"/>
      <c r="AB169" s="67"/>
      <c r="AC169" s="67"/>
      <c r="AD169" s="68"/>
      <c r="AG169" s="1" t="str">
        <f t="shared" si="3"/>
        <v/>
      </c>
      <c r="AH169" s="57"/>
    </row>
    <row r="170" spans="2:34" s="1" customFormat="1" x14ac:dyDescent="0.25" hidden="true">
      <c r="B170" s="66"/>
      <c r="C170" s="67"/>
      <c r="D170" s="67"/>
      <c r="E170" s="67"/>
      <c r="F170" s="67"/>
      <c r="G170" s="67"/>
      <c r="H170" s="67"/>
      <c r="I170" s="67"/>
      <c r="J170" s="67"/>
      <c r="K170" s="68"/>
      <c r="L170" s="66"/>
      <c r="M170" s="67"/>
      <c r="N170" s="67"/>
      <c r="O170" s="67"/>
      <c r="P170" s="67"/>
      <c r="Q170" s="67"/>
      <c r="R170" s="67"/>
      <c r="S170" s="67"/>
      <c r="T170" s="67"/>
      <c r="U170" s="68"/>
      <c r="V170" s="66"/>
      <c r="W170" s="67"/>
      <c r="X170" s="67"/>
      <c r="Y170" s="67"/>
      <c r="Z170" s="67"/>
      <c r="AA170" s="67"/>
      <c r="AB170" s="67"/>
      <c r="AC170" s="67"/>
      <c r="AD170" s="68"/>
      <c r="AG170" s="1" t="str">
        <f t="shared" si="3"/>
        <v/>
      </c>
      <c r="AH170" s="57"/>
    </row>
    <row r="171" spans="2:34" s="1" customFormat="1" ht="6.95" customHeight="1" x14ac:dyDescent="0.25" hidden="true">
      <c r="B171" s="69"/>
      <c r="C171" s="70"/>
      <c r="D171" s="70"/>
      <c r="E171" s="70"/>
      <c r="F171" s="70"/>
      <c r="G171" s="70"/>
      <c r="H171" s="70"/>
      <c r="I171" s="70"/>
      <c r="J171" s="70"/>
      <c r="K171" s="71"/>
      <c r="L171" s="69"/>
      <c r="M171" s="70"/>
      <c r="N171" s="70"/>
      <c r="O171" s="70"/>
      <c r="P171" s="70"/>
      <c r="Q171" s="70"/>
      <c r="R171" s="70"/>
      <c r="S171" s="70"/>
      <c r="T171" s="70"/>
      <c r="U171" s="71"/>
      <c r="V171" s="69"/>
      <c r="W171" s="70"/>
      <c r="X171" s="70"/>
      <c r="Y171" s="70"/>
      <c r="Z171" s="70"/>
      <c r="AA171" s="70"/>
      <c r="AB171" s="70"/>
      <c r="AC171" s="70"/>
      <c r="AD171" s="71"/>
    </row>
    <row r="172" spans="2:34" s="1" customFormat="1" x14ac:dyDescent="0.25" hidden="true">
      <c r="B172" s="80"/>
      <c r="C172" s="81"/>
      <c r="D172" s="81"/>
      <c r="E172" s="81"/>
      <c r="F172" s="81"/>
      <c r="G172" s="81"/>
      <c r="H172" s="81"/>
      <c r="I172" s="81"/>
      <c r="J172" s="81"/>
      <c r="K172" s="82"/>
      <c r="L172" s="80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  <c r="AC172" s="81"/>
      <c r="AD172" s="82"/>
    </row>
    <row r="173" spans="2:34" s="1" customFormat="1" x14ac:dyDescent="0.25" hidden="true">
      <c r="B173" s="72" t="s">
        <v>42</v>
      </c>
      <c r="C173" s="73"/>
      <c r="D173" s="73"/>
      <c r="E173" s="73"/>
      <c r="F173" s="73"/>
      <c r="G173" s="73"/>
      <c r="H173" s="73"/>
      <c r="I173" s="74"/>
      <c r="J173" s="74"/>
      <c r="K173" s="32"/>
      <c r="L173" s="72" t="s">
        <v>42</v>
      </c>
      <c r="M173" s="73"/>
      <c r="N173" s="73"/>
      <c r="O173" s="73"/>
      <c r="P173" s="73"/>
      <c r="Q173" s="73"/>
      <c r="R173" s="73"/>
      <c r="S173" s="74"/>
      <c r="T173" s="74"/>
      <c r="U173" s="28"/>
      <c r="V173" s="35"/>
      <c r="W173" s="35"/>
      <c r="X173" s="35"/>
      <c r="Y173" s="35"/>
      <c r="Z173" s="35"/>
      <c r="AA173" s="35"/>
      <c r="AB173" s="35"/>
      <c r="AC173" s="75"/>
      <c r="AD173" s="76"/>
    </row>
    <row r="174" spans="2:34" s="1" customFormat="1" ht="15" customHeight="1" x14ac:dyDescent="0.25" hidden="true">
      <c r="B174" s="77" t="s">
        <v>43</v>
      </c>
      <c r="C174" s="78"/>
      <c r="D174" s="78"/>
      <c r="E174" s="78"/>
      <c r="F174" s="78"/>
      <c r="G174" s="78"/>
      <c r="H174" s="78"/>
      <c r="I174" s="78"/>
      <c r="J174" s="78"/>
      <c r="K174" s="79"/>
      <c r="L174" s="77" t="s">
        <v>43</v>
      </c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  <c r="AD174" s="79"/>
    </row>
    <row r="175" spans="2:34" s="1" customFormat="1" ht="15" customHeight="1" x14ac:dyDescent="0.25" hidden="true">
      <c r="B175" s="66" t="str">
        <f>AG165</f>
        <v/>
      </c>
      <c r="C175" s="67"/>
      <c r="D175" s="67"/>
      <c r="E175" s="67"/>
      <c r="F175" s="67"/>
      <c r="G175" s="67"/>
      <c r="H175" s="67"/>
      <c r="I175" s="67"/>
      <c r="J175" s="67"/>
      <c r="K175" s="68"/>
      <c r="L175" s="66" t="str">
        <f>AG166</f>
        <v/>
      </c>
      <c r="M175" s="67"/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67"/>
      <c r="AA175" s="67"/>
      <c r="AB175" s="67"/>
      <c r="AC175" s="67"/>
      <c r="AD175" s="68"/>
    </row>
    <row r="176" spans="2:34" s="1" customFormat="1" x14ac:dyDescent="0.25" hidden="true">
      <c r="B176" s="66"/>
      <c r="C176" s="67"/>
      <c r="D176" s="67"/>
      <c r="E176" s="67"/>
      <c r="F176" s="67"/>
      <c r="G176" s="67"/>
      <c r="H176" s="67"/>
      <c r="I176" s="67"/>
      <c r="J176" s="67"/>
      <c r="K176" s="68"/>
      <c r="L176" s="66"/>
      <c r="M176" s="67"/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67"/>
      <c r="AA176" s="67"/>
      <c r="AB176" s="67"/>
      <c r="AC176" s="67"/>
      <c r="AD176" s="68"/>
    </row>
    <row r="177" spans="2:33" s="1" customFormat="1" x14ac:dyDescent="0.25" hidden="true">
      <c r="B177" s="66"/>
      <c r="C177" s="67"/>
      <c r="D177" s="67"/>
      <c r="E177" s="67"/>
      <c r="F177" s="67"/>
      <c r="G177" s="67"/>
      <c r="H177" s="67"/>
      <c r="I177" s="67"/>
      <c r="J177" s="67"/>
      <c r="K177" s="68"/>
      <c r="L177" s="66"/>
      <c r="M177" s="67"/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  <c r="AA177" s="67"/>
      <c r="AB177" s="67"/>
      <c r="AC177" s="67"/>
      <c r="AD177" s="68"/>
    </row>
    <row r="178" spans="2:33" s="1" customFormat="1" x14ac:dyDescent="0.25" hidden="true">
      <c r="B178" s="66"/>
      <c r="C178" s="67"/>
      <c r="D178" s="67"/>
      <c r="E178" s="67"/>
      <c r="F178" s="67"/>
      <c r="G178" s="67"/>
      <c r="H178" s="67"/>
      <c r="I178" s="67"/>
      <c r="J178" s="67"/>
      <c r="K178" s="68"/>
      <c r="L178" s="66"/>
      <c r="M178" s="67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  <c r="AA178" s="67"/>
      <c r="AB178" s="67"/>
      <c r="AC178" s="67"/>
      <c r="AD178" s="68"/>
    </row>
    <row r="179" spans="2:33" s="1" customFormat="1" ht="6.95" customHeight="1" x14ac:dyDescent="0.25" hidden="true">
      <c r="B179" s="69"/>
      <c r="C179" s="70"/>
      <c r="D179" s="70"/>
      <c r="E179" s="70"/>
      <c r="F179" s="70"/>
      <c r="G179" s="70"/>
      <c r="H179" s="70"/>
      <c r="I179" s="70"/>
      <c r="J179" s="70"/>
      <c r="K179" s="71"/>
      <c r="L179" s="69"/>
      <c r="M179" s="70"/>
      <c r="N179" s="70"/>
      <c r="O179" s="70"/>
      <c r="P179" s="70"/>
      <c r="Q179" s="70"/>
      <c r="R179" s="70"/>
      <c r="S179" s="70"/>
      <c r="T179" s="70"/>
      <c r="U179" s="70"/>
      <c r="V179" s="70"/>
      <c r="W179" s="70"/>
      <c r="X179" s="70"/>
      <c r="Y179" s="70"/>
      <c r="Z179" s="70"/>
      <c r="AA179" s="70"/>
      <c r="AB179" s="70"/>
      <c r="AC179" s="70"/>
      <c r="AD179" s="71"/>
    </row>
    <row r="180" spans="2:33" s="1" customFormat="1" x14ac:dyDescent="0.25" hidden="true">
      <c r="B180" s="60" t="s">
        <v>44</v>
      </c>
      <c r="C180" s="61"/>
      <c r="D180" s="61"/>
      <c r="E180" s="61"/>
      <c r="F180" s="61"/>
      <c r="G180" s="61"/>
      <c r="H180" s="61"/>
      <c r="I180" s="61"/>
      <c r="J180" s="61"/>
      <c r="K180" s="61"/>
      <c r="L180" s="61"/>
      <c r="M180" s="61"/>
      <c r="N180" s="61"/>
      <c r="O180" s="62"/>
      <c r="P180" s="60" t="s">
        <v>45</v>
      </c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2"/>
    </row>
    <row r="181" spans="2:33" s="1" customFormat="1" ht="15" customHeight="1" x14ac:dyDescent="0.25" hidden="true">
      <c r="B181" s="63" t="str">
        <f>AG167</f>
        <v/>
      </c>
      <c r="C181" s="64"/>
      <c r="D181" s="64"/>
      <c r="E181" s="64"/>
      <c r="F181" s="64"/>
      <c r="G181" s="64"/>
      <c r="H181" s="64"/>
      <c r="I181" s="64"/>
      <c r="J181" s="64"/>
      <c r="K181" s="64"/>
      <c r="L181" s="64"/>
      <c r="M181" s="64"/>
      <c r="N181" s="64"/>
      <c r="O181" s="65"/>
      <c r="P181" s="63" t="str">
        <f>AG168</f>
        <v/>
      </c>
      <c r="Q181" s="64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5"/>
    </row>
    <row r="182" spans="2:33" s="1" customFormat="1" ht="15" customHeight="1" x14ac:dyDescent="0.25" hidden="true">
      <c r="B182" s="66"/>
      <c r="C182" s="67"/>
      <c r="D182" s="67"/>
      <c r="E182" s="67"/>
      <c r="F182" s="67"/>
      <c r="G182" s="67"/>
      <c r="H182" s="67"/>
      <c r="I182" s="67"/>
      <c r="J182" s="67"/>
      <c r="K182" s="67"/>
      <c r="L182" s="67"/>
      <c r="M182" s="67"/>
      <c r="N182" s="67"/>
      <c r="O182" s="68"/>
      <c r="P182" s="66"/>
      <c r="Q182" s="67"/>
      <c r="R182" s="67"/>
      <c r="S182" s="67"/>
      <c r="T182" s="67"/>
      <c r="U182" s="67"/>
      <c r="V182" s="67"/>
      <c r="W182" s="67"/>
      <c r="X182" s="67"/>
      <c r="Y182" s="67"/>
      <c r="Z182" s="67"/>
      <c r="AA182" s="67"/>
      <c r="AB182" s="67"/>
      <c r="AC182" s="67"/>
      <c r="AD182" s="68"/>
    </row>
    <row r="183" spans="2:33" s="1" customFormat="1" x14ac:dyDescent="0.25" hidden="true">
      <c r="B183" s="66"/>
      <c r="C183" s="67"/>
      <c r="D183" s="67"/>
      <c r="E183" s="67"/>
      <c r="F183" s="67"/>
      <c r="G183" s="67"/>
      <c r="H183" s="67"/>
      <c r="I183" s="67"/>
      <c r="J183" s="67"/>
      <c r="K183" s="67"/>
      <c r="L183" s="67"/>
      <c r="M183" s="67"/>
      <c r="N183" s="67"/>
      <c r="O183" s="68"/>
      <c r="P183" s="66"/>
      <c r="Q183" s="67"/>
      <c r="R183" s="67"/>
      <c r="S183" s="67"/>
      <c r="T183" s="67"/>
      <c r="U183" s="67"/>
      <c r="V183" s="67"/>
      <c r="W183" s="67"/>
      <c r="X183" s="67"/>
      <c r="Y183" s="67"/>
      <c r="Z183" s="67"/>
      <c r="AA183" s="67"/>
      <c r="AB183" s="67"/>
      <c r="AC183" s="67"/>
      <c r="AD183" s="68"/>
    </row>
    <row r="184" spans="2:33" s="1" customFormat="1" x14ac:dyDescent="0.25" hidden="true">
      <c r="B184" s="69"/>
      <c r="C184" s="70"/>
      <c r="D184" s="70"/>
      <c r="E184" s="70"/>
      <c r="F184" s="70"/>
      <c r="G184" s="70"/>
      <c r="H184" s="70"/>
      <c r="I184" s="70"/>
      <c r="J184" s="70"/>
      <c r="K184" s="70"/>
      <c r="L184" s="70"/>
      <c r="M184" s="70"/>
      <c r="N184" s="70"/>
      <c r="O184" s="71"/>
      <c r="P184" s="69"/>
      <c r="Q184" s="70"/>
      <c r="R184" s="70"/>
      <c r="S184" s="70"/>
      <c r="T184" s="70"/>
      <c r="U184" s="70"/>
      <c r="V184" s="70"/>
      <c r="W184" s="70"/>
      <c r="X184" s="70"/>
      <c r="Y184" s="70"/>
      <c r="Z184" s="70"/>
      <c r="AA184" s="70"/>
      <c r="AB184" s="70"/>
      <c r="AC184" s="70"/>
      <c r="AD184" s="71"/>
    </row>
    <row r="185" spans="2:33" s="1" customFormat="1" x14ac:dyDescent="0.25" hidden="true">
      <c r="B185" s="60" t="s">
        <v>46</v>
      </c>
      <c r="C185" s="61"/>
      <c r="D185" s="61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62"/>
      <c r="P185" s="60" t="s">
        <v>47</v>
      </c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2"/>
    </row>
    <row r="186" spans="2:33" s="1" customFormat="1" ht="15" customHeight="1" x14ac:dyDescent="0.25" hidden="true">
      <c r="B186" s="63" t="str">
        <f>AG169</f>
        <v/>
      </c>
      <c r="C186" s="64"/>
      <c r="D186" s="64"/>
      <c r="E186" s="64"/>
      <c r="F186" s="64"/>
      <c r="G186" s="64"/>
      <c r="H186" s="64"/>
      <c r="I186" s="64"/>
      <c r="J186" s="64"/>
      <c r="K186" s="64"/>
      <c r="L186" s="64"/>
      <c r="M186" s="64"/>
      <c r="N186" s="64"/>
      <c r="O186" s="65"/>
      <c r="P186" s="63" t="str">
        <f>AG170</f>
        <v/>
      </c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5"/>
    </row>
    <row r="187" spans="2:33" s="1" customFormat="1" ht="15" customHeight="1" x14ac:dyDescent="0.25" hidden="true">
      <c r="B187" s="66"/>
      <c r="C187" s="67"/>
      <c r="D187" s="67"/>
      <c r="E187" s="67"/>
      <c r="F187" s="67"/>
      <c r="G187" s="67"/>
      <c r="H187" s="67"/>
      <c r="I187" s="67"/>
      <c r="J187" s="67"/>
      <c r="K187" s="67"/>
      <c r="L187" s="67"/>
      <c r="M187" s="67"/>
      <c r="N187" s="67"/>
      <c r="O187" s="68"/>
      <c r="P187" s="66"/>
      <c r="Q187" s="67"/>
      <c r="R187" s="67"/>
      <c r="S187" s="67"/>
      <c r="T187" s="67"/>
      <c r="U187" s="67"/>
      <c r="V187" s="67"/>
      <c r="W187" s="67"/>
      <c r="X187" s="67"/>
      <c r="Y187" s="67"/>
      <c r="Z187" s="67"/>
      <c r="AA187" s="67"/>
      <c r="AB187" s="67"/>
      <c r="AC187" s="67"/>
      <c r="AD187" s="68"/>
    </row>
    <row r="188" spans="2:33" s="1" customFormat="1" x14ac:dyDescent="0.25" hidden="true">
      <c r="B188" s="69"/>
      <c r="C188" s="70"/>
      <c r="D188" s="70"/>
      <c r="E188" s="70"/>
      <c r="F188" s="70"/>
      <c r="G188" s="70"/>
      <c r="H188" s="70"/>
      <c r="I188" s="70"/>
      <c r="J188" s="70"/>
      <c r="K188" s="70"/>
      <c r="L188" s="70"/>
      <c r="M188" s="70"/>
      <c r="N188" s="70"/>
      <c r="O188" s="71"/>
      <c r="P188" s="69"/>
      <c r="Q188" s="70"/>
      <c r="R188" s="70"/>
      <c r="S188" s="70"/>
      <c r="T188" s="70"/>
      <c r="U188" s="70"/>
      <c r="V188" s="70"/>
      <c r="W188" s="70"/>
      <c r="X188" s="70"/>
      <c r="Y188" s="70"/>
      <c r="Z188" s="70"/>
      <c r="AA188" s="70"/>
      <c r="AB188" s="70"/>
      <c r="AC188" s="70"/>
      <c r="AD188" s="71"/>
      <c r="AF188"/>
      <c r="AG188"/>
    </row>
    <row r="189" spans="2:33" s="1" customFormat="1" ht="6.95" customHeight="1" x14ac:dyDescent="0.25" hidden="true"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F189"/>
    </row>
    <row r="190" spans="2:33" s="56" customFormat="1" x14ac:dyDescent="0.25" hidden="true">
      <c r="B190" s="59" t="s">
        <v>577</v>
      </c>
      <c r="C190" s="59"/>
      <c r="D190" s="59"/>
      <c r="E190" s="59"/>
      <c r="F190" s="59"/>
      <c r="G190" s="59"/>
      <c r="H190" s="59"/>
      <c r="I190" s="59" t="s">
        <v>577</v>
      </c>
      <c r="J190" s="59"/>
      <c r="K190" s="59"/>
      <c r="L190" s="59"/>
      <c r="M190" s="59"/>
      <c r="N190" s="59"/>
      <c r="O190" s="59"/>
      <c r="P190" s="59" t="s">
        <v>577</v>
      </c>
      <c r="Q190" s="59"/>
      <c r="R190" s="59"/>
      <c r="S190" s="59"/>
      <c r="T190" s="59"/>
      <c r="U190" s="59"/>
      <c r="V190" s="59"/>
      <c r="W190" s="59" t="s">
        <v>577</v>
      </c>
      <c r="X190" s="59"/>
      <c r="Y190" s="59"/>
      <c r="Z190" s="59"/>
      <c r="AA190" s="59"/>
      <c r="AB190" s="59"/>
      <c r="AC190" s="59"/>
      <c r="AD190" s="58"/>
    </row>
    <row r="191" spans="2:33" s="56" customFormat="1" x14ac:dyDescent="0.25" hidden="true">
      <c r="B191" s="59"/>
      <c r="C191" s="59"/>
      <c r="D191" s="59"/>
      <c r="E191" s="59"/>
      <c r="F191" s="59"/>
      <c r="G191" s="59"/>
      <c r="H191" s="59"/>
      <c r="I191" s="59"/>
      <c r="J191" s="59"/>
      <c r="K191" s="59"/>
      <c r="L191" s="59"/>
      <c r="M191" s="59"/>
      <c r="N191" s="59"/>
      <c r="O191" s="59"/>
      <c r="P191" s="59"/>
      <c r="Q191" s="59"/>
      <c r="R191" s="59"/>
      <c r="S191" s="59"/>
      <c r="T191" s="59"/>
      <c r="U191" s="59"/>
      <c r="V191" s="59"/>
      <c r="W191" s="59"/>
      <c r="X191" s="59"/>
      <c r="Y191" s="59"/>
      <c r="Z191" s="59"/>
      <c r="AA191" s="59"/>
      <c r="AB191" s="59"/>
      <c r="AC191" s="59"/>
      <c r="AD191" s="58"/>
    </row>
    <row r="192" spans="2:33" s="56" customFormat="1" x14ac:dyDescent="0.25" hidden="true">
      <c r="B192" s="59"/>
      <c r="C192" s="59"/>
      <c r="D192" s="59"/>
      <c r="E192" s="59"/>
      <c r="F192" s="59"/>
      <c r="G192" s="59"/>
      <c r="H192" s="59"/>
      <c r="I192" s="59"/>
      <c r="J192" s="59"/>
      <c r="K192" s="59"/>
      <c r="L192" s="59"/>
      <c r="M192" s="59"/>
      <c r="N192" s="59"/>
      <c r="O192" s="59"/>
      <c r="P192" s="59"/>
      <c r="Q192" s="59"/>
      <c r="R192" s="59"/>
      <c r="S192" s="59"/>
      <c r="T192" s="59"/>
      <c r="U192" s="59"/>
      <c r="V192" s="59"/>
      <c r="W192" s="59"/>
      <c r="X192" s="59"/>
      <c r="Y192" s="59"/>
      <c r="Z192" s="59"/>
      <c r="AA192" s="59"/>
      <c r="AB192" s="59"/>
      <c r="AC192" s="59"/>
      <c r="AD192" s="58"/>
    </row>
    <row r="193" spans="2:30" s="56" customFormat="1" x14ac:dyDescent="0.25" hidden="true">
      <c r="B193" s="59"/>
      <c r="C193" s="59"/>
      <c r="D193" s="59"/>
      <c r="E193" s="59"/>
      <c r="F193" s="59"/>
      <c r="G193" s="59"/>
      <c r="H193" s="59"/>
      <c r="I193" s="59"/>
      <c r="J193" s="59"/>
      <c r="K193" s="59"/>
      <c r="L193" s="59"/>
      <c r="M193" s="59"/>
      <c r="N193" s="59"/>
      <c r="O193" s="59"/>
      <c r="P193" s="59"/>
      <c r="Q193" s="59"/>
      <c r="R193" s="59"/>
      <c r="S193" s="59"/>
      <c r="T193" s="59"/>
      <c r="U193" s="59"/>
      <c r="V193" s="59"/>
      <c r="W193" s="59"/>
      <c r="X193" s="59"/>
      <c r="Y193" s="59"/>
      <c r="Z193" s="59"/>
      <c r="AA193" s="59"/>
      <c r="AB193" s="59"/>
      <c r="AC193" s="59"/>
      <c r="AD193" s="58"/>
    </row>
    <row r="194" spans="2:30" s="56" customFormat="1" x14ac:dyDescent="0.25" hidden="true">
      <c r="B194" s="59"/>
      <c r="C194" s="59"/>
      <c r="D194" s="59"/>
      <c r="E194" s="59"/>
      <c r="F194" s="59"/>
      <c r="G194" s="59"/>
      <c r="H194" s="59"/>
      <c r="I194" s="59"/>
      <c r="J194" s="59"/>
      <c r="K194" s="59"/>
      <c r="L194" s="59"/>
      <c r="M194" s="59"/>
      <c r="N194" s="59"/>
      <c r="O194" s="59"/>
      <c r="P194" s="59"/>
      <c r="Q194" s="59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58"/>
    </row>
    <row r="195" spans="2:30" s="56" customFormat="1" x14ac:dyDescent="0.25" hidden="true">
      <c r="B195" s="59"/>
      <c r="C195" s="59"/>
      <c r="D195" s="59"/>
      <c r="E195" s="59"/>
      <c r="F195" s="59"/>
      <c r="G195" s="59"/>
      <c r="H195" s="59"/>
      <c r="I195" s="59"/>
      <c r="J195" s="59"/>
      <c r="K195" s="59"/>
      <c r="L195" s="59"/>
      <c r="M195" s="59"/>
      <c r="N195" s="59"/>
      <c r="O195" s="59"/>
      <c r="P195" s="59"/>
      <c r="Q195" s="59"/>
      <c r="R195" s="59"/>
      <c r="S195" s="59"/>
      <c r="T195" s="59"/>
      <c r="U195" s="59"/>
      <c r="V195" s="59"/>
      <c r="W195" s="59"/>
      <c r="X195" s="59"/>
      <c r="Y195" s="59"/>
      <c r="Z195" s="59"/>
      <c r="AA195" s="59"/>
      <c r="AB195" s="59"/>
      <c r="AC195" s="59"/>
      <c r="AD195" s="58"/>
    </row>
    <row r="196" spans="2:30" s="44" customFormat="1" x14ac:dyDescent="0.25" hidden="true">
      <c r="B196" s="59"/>
      <c r="C196" s="59"/>
      <c r="D196" s="59"/>
      <c r="E196" s="59"/>
      <c r="F196" s="59"/>
      <c r="G196" s="59"/>
      <c r="H196" s="59"/>
      <c r="I196" s="59"/>
      <c r="J196" s="59"/>
      <c r="K196" s="59"/>
      <c r="L196" s="59"/>
      <c r="M196" s="59"/>
      <c r="N196" s="59"/>
      <c r="O196" s="59"/>
      <c r="P196" s="59"/>
      <c r="Q196" s="59"/>
      <c r="R196" s="59"/>
      <c r="S196" s="59"/>
      <c r="T196" s="59"/>
      <c r="U196" s="59"/>
      <c r="V196" s="59"/>
      <c r="W196" s="59"/>
      <c r="X196" s="59"/>
      <c r="Y196" s="59"/>
      <c r="Z196" s="59"/>
      <c r="AA196" s="59"/>
      <c r="AB196" s="59"/>
      <c r="AC196" s="59"/>
      <c r="AD196" s="58"/>
    </row>
    <row r="197" spans="2:30" s="44" customFormat="1" x14ac:dyDescent="0.25" hidden="true">
      <c r="B197" s="59" t="s">
        <v>577</v>
      </c>
      <c r="C197" s="59"/>
      <c r="D197" s="59"/>
      <c r="E197" s="59"/>
      <c r="F197" s="59"/>
      <c r="G197" s="59"/>
      <c r="H197" s="59"/>
      <c r="I197" s="59" t="s">
        <v>577</v>
      </c>
      <c r="J197" s="59"/>
      <c r="K197" s="59"/>
      <c r="L197" s="59"/>
      <c r="M197" s="59"/>
      <c r="N197" s="59"/>
      <c r="O197" s="59"/>
      <c r="P197" s="59" t="s">
        <v>577</v>
      </c>
      <c r="Q197" s="59"/>
      <c r="R197" s="59"/>
      <c r="S197" s="59"/>
      <c r="T197" s="59"/>
      <c r="U197" s="59"/>
      <c r="V197" s="59"/>
      <c r="W197" s="59" t="s">
        <v>577</v>
      </c>
      <c r="X197" s="59"/>
      <c r="Y197" s="59"/>
      <c r="Z197" s="59"/>
      <c r="AA197" s="59"/>
      <c r="AB197" s="59"/>
      <c r="AC197" s="59"/>
      <c r="AD197" s="58"/>
    </row>
    <row r="198" spans="2:30" s="44" customFormat="1" x14ac:dyDescent="0.25" hidden="true">
      <c r="B198" s="59"/>
      <c r="C198" s="59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/>
      <c r="P198" s="59"/>
      <c r="Q198" s="59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59"/>
      <c r="AC198" s="59"/>
      <c r="AD198" s="58"/>
    </row>
    <row r="199" spans="2:30" s="44" customFormat="1" x14ac:dyDescent="0.25" hidden="true">
      <c r="B199" s="59"/>
      <c r="C199" s="59"/>
      <c r="D199" s="59"/>
      <c r="E199" s="59"/>
      <c r="F199" s="59"/>
      <c r="G199" s="59"/>
      <c r="H199" s="59"/>
      <c r="I199" s="59"/>
      <c r="J199" s="59"/>
      <c r="K199" s="59"/>
      <c r="L199" s="59"/>
      <c r="M199" s="59"/>
      <c r="N199" s="59"/>
      <c r="O199" s="59"/>
      <c r="P199" s="59"/>
      <c r="Q199" s="59"/>
      <c r="R199" s="59"/>
      <c r="S199" s="59"/>
      <c r="T199" s="59"/>
      <c r="U199" s="59"/>
      <c r="V199" s="59"/>
      <c r="W199" s="59"/>
      <c r="X199" s="59"/>
      <c r="Y199" s="59"/>
      <c r="Z199" s="59"/>
      <c r="AA199" s="59"/>
      <c r="AB199" s="59"/>
      <c r="AC199" s="59"/>
      <c r="AD199" s="58"/>
    </row>
    <row r="200" spans="2:30" s="44" customFormat="1" ht="6.95" customHeight="1" x14ac:dyDescent="0.25" hidden="true">
      <c r="B200" s="59"/>
      <c r="C200" s="59"/>
      <c r="D200" s="59"/>
      <c r="E200" s="59"/>
      <c r="F200" s="59"/>
      <c r="G200" s="59"/>
      <c r="H200" s="59"/>
      <c r="I200" s="59"/>
      <c r="J200" s="59"/>
      <c r="K200" s="59"/>
      <c r="L200" s="59"/>
      <c r="M200" s="59"/>
      <c r="N200" s="59"/>
      <c r="O200" s="59"/>
      <c r="P200" s="59"/>
      <c r="Q200" s="59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21"/>
    </row>
    <row r="201" spans="2:30" s="44" customFormat="1" x14ac:dyDescent="0.25" hidden="true">
      <c r="B201" s="59"/>
      <c r="C201" s="59"/>
      <c r="D201" s="59"/>
      <c r="E201" s="59"/>
      <c r="F201" s="59"/>
      <c r="G201" s="59"/>
      <c r="H201" s="59"/>
      <c r="I201" s="59"/>
      <c r="J201" s="59"/>
      <c r="K201" s="59"/>
      <c r="L201" s="59"/>
      <c r="M201" s="59"/>
      <c r="N201" s="59"/>
      <c r="O201" s="59"/>
      <c r="P201" s="59"/>
      <c r="Q201" s="59"/>
      <c r="R201" s="59"/>
      <c r="S201" s="59"/>
      <c r="T201" s="59"/>
      <c r="U201" s="59"/>
      <c r="V201" s="59"/>
      <c r="W201" s="59"/>
      <c r="X201" s="59"/>
      <c r="Y201" s="59"/>
      <c r="Z201" s="59"/>
      <c r="AA201" s="59"/>
      <c r="AB201" s="59"/>
      <c r="AC201" s="59"/>
      <c r="AD201" s="58"/>
    </row>
    <row r="202" spans="2:30" s="44" customFormat="1" x14ac:dyDescent="0.25" hidden="true">
      <c r="B202" s="59"/>
      <c r="C202" s="59"/>
      <c r="D202" s="59"/>
      <c r="E202" s="59"/>
      <c r="F202" s="59"/>
      <c r="G202" s="59"/>
      <c r="H202" s="59"/>
      <c r="I202" s="59"/>
      <c r="J202" s="59"/>
      <c r="K202" s="59"/>
      <c r="L202" s="59"/>
      <c r="M202" s="59"/>
      <c r="N202" s="59"/>
      <c r="O202" s="59"/>
      <c r="P202" s="59"/>
      <c r="Q202" s="59"/>
      <c r="R202" s="59"/>
      <c r="S202" s="59"/>
      <c r="T202" s="59"/>
      <c r="U202" s="59"/>
      <c r="V202" s="59"/>
      <c r="W202" s="59"/>
      <c r="X202" s="59"/>
      <c r="Y202" s="59"/>
      <c r="Z202" s="59"/>
      <c r="AA202" s="59"/>
      <c r="AB202" s="59"/>
      <c r="AC202" s="59"/>
      <c r="AD202" s="58"/>
    </row>
    <row r="203" spans="2:30" s="44" customFormat="1" x14ac:dyDescent="0.25" hidden="true">
      <c r="B203" s="59"/>
      <c r="C203" s="59"/>
      <c r="D203" s="59"/>
      <c r="E203" s="59"/>
      <c r="F203" s="59"/>
      <c r="G203" s="59"/>
      <c r="H203" s="59"/>
      <c r="I203" s="59"/>
      <c r="J203" s="59"/>
      <c r="K203" s="59"/>
      <c r="L203" s="59"/>
      <c r="M203" s="59"/>
      <c r="N203" s="59"/>
      <c r="O203" s="59"/>
      <c r="P203" s="59"/>
      <c r="Q203" s="59"/>
      <c r="R203" s="59"/>
      <c r="S203" s="59"/>
      <c r="T203" s="59"/>
      <c r="U203" s="59"/>
      <c r="V203" s="59"/>
      <c r="W203" s="59"/>
      <c r="X203" s="59"/>
      <c r="Y203" s="59"/>
      <c r="Z203" s="59"/>
      <c r="AA203" s="59"/>
      <c r="AB203" s="59"/>
      <c r="AC203" s="59"/>
      <c r="AD203" s="58"/>
    </row>
    <row r="204" spans="2:30" s="44" customFormat="1" x14ac:dyDescent="0.25" hidden="true">
      <c r="B204" s="59" t="s">
        <v>577</v>
      </c>
      <c r="C204" s="59"/>
      <c r="D204" s="59"/>
      <c r="E204" s="59"/>
      <c r="F204" s="59"/>
      <c r="G204" s="59"/>
      <c r="H204" s="59"/>
      <c r="I204" s="59" t="s">
        <v>577</v>
      </c>
      <c r="J204" s="59"/>
      <c r="K204" s="59"/>
      <c r="L204" s="59"/>
      <c r="M204" s="59"/>
      <c r="N204" s="59"/>
      <c r="O204" s="59"/>
      <c r="P204" s="59" t="s">
        <v>577</v>
      </c>
      <c r="Q204" s="59"/>
      <c r="R204" s="59"/>
      <c r="S204" s="59"/>
      <c r="T204" s="59"/>
      <c r="U204" s="59"/>
      <c r="V204" s="59"/>
      <c r="W204" s="59" t="s">
        <v>577</v>
      </c>
      <c r="X204" s="59"/>
      <c r="Y204" s="59"/>
      <c r="Z204" s="59"/>
      <c r="AA204" s="59"/>
      <c r="AB204" s="59"/>
      <c r="AC204" s="59"/>
      <c r="AD204" s="58"/>
    </row>
    <row r="205" spans="2:30" s="44" customFormat="1" x14ac:dyDescent="0.25" hidden="true">
      <c r="B205" s="59"/>
      <c r="C205" s="59"/>
      <c r="D205" s="59"/>
      <c r="E205" s="59"/>
      <c r="F205" s="59"/>
      <c r="G205" s="59"/>
      <c r="H205" s="59"/>
      <c r="I205" s="59"/>
      <c r="J205" s="59"/>
      <c r="K205" s="59"/>
      <c r="L205" s="59"/>
      <c r="M205" s="59"/>
      <c r="N205" s="59"/>
      <c r="O205" s="59"/>
      <c r="P205" s="59"/>
      <c r="Q205" s="59"/>
      <c r="R205" s="59"/>
      <c r="S205" s="59"/>
      <c r="T205" s="59"/>
      <c r="U205" s="59"/>
      <c r="V205" s="59"/>
      <c r="W205" s="59"/>
      <c r="X205" s="59"/>
      <c r="Y205" s="59"/>
      <c r="Z205" s="59"/>
      <c r="AA205" s="59"/>
      <c r="AB205" s="59"/>
      <c r="AC205" s="59"/>
      <c r="AD205" s="58"/>
    </row>
    <row r="206" spans="2:30" s="44" customFormat="1" x14ac:dyDescent="0.25" hidden="true">
      <c r="B206" s="59"/>
      <c r="C206" s="59"/>
      <c r="D206" s="59"/>
      <c r="E206" s="59"/>
      <c r="F206" s="59"/>
      <c r="G206" s="59"/>
      <c r="H206" s="59"/>
      <c r="I206" s="59"/>
      <c r="J206" s="59"/>
      <c r="K206" s="59"/>
      <c r="L206" s="59"/>
      <c r="M206" s="59"/>
      <c r="N206" s="59"/>
      <c r="O206" s="59"/>
      <c r="P206" s="59"/>
      <c r="Q206" s="59"/>
      <c r="R206" s="59"/>
      <c r="S206" s="59"/>
      <c r="T206" s="59"/>
      <c r="U206" s="59"/>
      <c r="V206" s="59"/>
      <c r="W206" s="59"/>
      <c r="X206" s="59"/>
      <c r="Y206" s="59"/>
      <c r="Z206" s="59"/>
      <c r="AA206" s="59"/>
      <c r="AB206" s="59"/>
      <c r="AC206" s="59"/>
      <c r="AD206" s="58"/>
    </row>
    <row r="207" spans="2:30" s="44" customFormat="1" x14ac:dyDescent="0.25" hidden="true">
      <c r="B207" s="59"/>
      <c r="C207" s="59"/>
      <c r="D207" s="59"/>
      <c r="E207" s="59"/>
      <c r="F207" s="59"/>
      <c r="G207" s="59"/>
      <c r="H207" s="59"/>
      <c r="I207" s="59"/>
      <c r="J207" s="59"/>
      <c r="K207" s="59"/>
      <c r="L207" s="59"/>
      <c r="M207" s="59"/>
      <c r="N207" s="59"/>
      <c r="O207" s="59"/>
      <c r="P207" s="59"/>
      <c r="Q207" s="59"/>
      <c r="R207" s="59"/>
      <c r="S207" s="59"/>
      <c r="T207" s="59"/>
      <c r="U207" s="59"/>
      <c r="V207" s="59"/>
      <c r="W207" s="59"/>
      <c r="X207" s="59"/>
      <c r="Y207" s="59"/>
      <c r="Z207" s="59"/>
      <c r="AA207" s="59"/>
      <c r="AB207" s="59"/>
      <c r="AC207" s="59"/>
      <c r="AD207" s="58"/>
    </row>
    <row r="208" spans="2:30" s="44" customFormat="1" x14ac:dyDescent="0.25" hidden="true">
      <c r="B208" s="59"/>
      <c r="C208" s="59"/>
      <c r="D208" s="59"/>
      <c r="E208" s="59"/>
      <c r="F208" s="59"/>
      <c r="G208" s="59"/>
      <c r="H208" s="59"/>
      <c r="I208" s="59"/>
      <c r="J208" s="59"/>
      <c r="K208" s="59"/>
      <c r="L208" s="59"/>
      <c r="M208" s="59"/>
      <c r="N208" s="59"/>
      <c r="O208" s="59"/>
      <c r="P208" s="59"/>
      <c r="Q208" s="59"/>
      <c r="R208" s="59"/>
      <c r="S208" s="59"/>
      <c r="T208" s="59"/>
      <c r="U208" s="59"/>
      <c r="V208" s="59"/>
      <c r="W208" s="59"/>
      <c r="X208" s="59"/>
      <c r="Y208" s="59"/>
      <c r="Z208" s="59"/>
      <c r="AA208" s="59"/>
      <c r="AB208" s="59"/>
      <c r="AC208" s="59"/>
      <c r="AD208" s="58"/>
    </row>
    <row r="209" spans="2:34" s="44" customFormat="1" x14ac:dyDescent="0.25" hidden="true">
      <c r="B209" s="59"/>
      <c r="C209" s="59"/>
      <c r="D209" s="59"/>
      <c r="E209" s="59"/>
      <c r="F209" s="59"/>
      <c r="G209" s="59"/>
      <c r="H209" s="59"/>
      <c r="I209" s="59"/>
      <c r="J209" s="59"/>
      <c r="K209" s="59"/>
      <c r="L209" s="59"/>
      <c r="M209" s="59"/>
      <c r="N209" s="59"/>
      <c r="O209" s="59"/>
      <c r="P209" s="59"/>
      <c r="Q209" s="59"/>
      <c r="R209" s="59"/>
      <c r="S209" s="59"/>
      <c r="T209" s="59"/>
      <c r="U209" s="59"/>
      <c r="V209" s="59"/>
      <c r="W209" s="59"/>
      <c r="X209" s="59"/>
      <c r="Y209" s="59"/>
      <c r="Z209" s="59"/>
      <c r="AA209" s="59"/>
      <c r="AB209" s="59"/>
      <c r="AC209" s="59"/>
      <c r="AD209" s="58"/>
    </row>
    <row r="210" spans="2:34" s="44" customFormat="1" x14ac:dyDescent="0.25" hidden="true">
      <c r="B210" s="59"/>
      <c r="C210" s="59"/>
      <c r="D210" s="59"/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59"/>
      <c r="P210" s="59"/>
      <c r="Q210" s="59"/>
      <c r="R210" s="59"/>
      <c r="S210" s="59"/>
      <c r="T210" s="59"/>
      <c r="U210" s="59"/>
      <c r="V210" s="59"/>
      <c r="W210" s="59"/>
      <c r="X210" s="59"/>
      <c r="Y210" s="59"/>
      <c r="Z210" s="59"/>
      <c r="AA210" s="59"/>
      <c r="AB210" s="59"/>
      <c r="AC210" s="59"/>
      <c r="AD210" s="58"/>
    </row>
    <row r="211" spans="2:34" s="1" customFormat="1" x14ac:dyDescent="0.25" hidden="true">
      <c r="B211" s="85" t="s">
        <v>223</v>
      </c>
      <c r="C211" s="85"/>
      <c r="D211" s="85"/>
      <c r="E211" s="85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  <c r="S211" s="86"/>
      <c r="T211" s="85" t="s">
        <v>41</v>
      </c>
      <c r="U211" s="85"/>
      <c r="V211" s="85"/>
      <c r="W211" s="85"/>
      <c r="X211" s="85"/>
      <c r="Y211" s="85"/>
      <c r="Z211" s="85"/>
      <c r="AA211" s="85"/>
      <c r="AB211" s="85"/>
      <c r="AC211" s="86"/>
      <c r="AD211" s="86"/>
    </row>
    <row r="212" spans="2:34" s="1" customFormat="1" ht="15" customHeight="1" x14ac:dyDescent="0.25" hidden="true">
      <c r="B212" s="83"/>
      <c r="C212" s="83"/>
      <c r="D212" s="83"/>
      <c r="E212" s="83"/>
      <c r="F212" s="83"/>
      <c r="G212" s="83"/>
      <c r="H212" s="83"/>
      <c r="I212" s="83"/>
      <c r="J212" s="83"/>
      <c r="K212" s="83"/>
      <c r="L212" s="83"/>
      <c r="M212" s="83"/>
      <c r="N212" s="83"/>
      <c r="O212" s="83"/>
      <c r="P212" s="83"/>
      <c r="Q212" s="83"/>
      <c r="R212" s="83"/>
      <c r="S212" s="83"/>
      <c r="T212" s="83"/>
      <c r="U212" s="83"/>
      <c r="V212" s="83"/>
      <c r="W212" s="83"/>
      <c r="X212" s="83"/>
      <c r="Y212" s="83"/>
      <c r="Z212" s="83"/>
      <c r="AA212" s="83"/>
      <c r="AB212" s="83"/>
      <c r="AC212" s="83"/>
      <c r="AD212" s="83"/>
      <c r="AG212" s="1" t="str">
        <f>SUBSTITUTE(AH212,",","; ")</f>
        <v/>
      </c>
      <c r="AH212" s="1"/>
    </row>
    <row r="213" spans="2:34" s="1" customFormat="1" x14ac:dyDescent="0.25" hidden="true">
      <c r="B213" s="83"/>
      <c r="C213" s="83"/>
      <c r="D213" s="83"/>
      <c r="E213" s="83"/>
      <c r="F213" s="83"/>
      <c r="G213" s="83"/>
      <c r="H213" s="83"/>
      <c r="I213" s="83"/>
      <c r="J213" s="83"/>
      <c r="K213" s="83"/>
      <c r="L213" s="83"/>
      <c r="M213" s="83"/>
      <c r="N213" s="83"/>
      <c r="O213" s="83"/>
      <c r="P213" s="83"/>
      <c r="Q213" s="83"/>
      <c r="R213" s="83"/>
      <c r="S213" s="83"/>
      <c r="T213" s="83"/>
      <c r="U213" s="83"/>
      <c r="V213" s="83"/>
      <c r="W213" s="83"/>
      <c r="X213" s="83"/>
      <c r="Y213" s="83"/>
      <c r="Z213" s="83"/>
      <c r="AA213" s="83"/>
      <c r="AB213" s="83"/>
      <c r="AC213" s="83"/>
      <c r="AD213" s="83"/>
      <c r="AG213" s="1" t="str">
        <f t="shared" ref="AG213:AG221" si="4">SUBSTITUTE(AH213,",","; ")</f>
        <v/>
      </c>
      <c r="AH213" s="1"/>
    </row>
    <row r="214" spans="2:34" s="1" customFormat="1" ht="7.5" customHeight="1" x14ac:dyDescent="0.25" hidden="true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V214" s="2"/>
      <c r="W214" s="2"/>
      <c r="X214" s="2"/>
      <c r="Y214" s="2"/>
      <c r="Z214" s="2"/>
      <c r="AA214" s="2"/>
      <c r="AB214" s="2"/>
      <c r="AC214" s="2"/>
      <c r="AG214" s="1" t="str">
        <f t="shared" si="4"/>
        <v/>
      </c>
    </row>
    <row r="215" spans="2:34" s="1" customFormat="1" x14ac:dyDescent="0.25" hidden="true">
      <c r="B215" s="80"/>
      <c r="C215" s="81"/>
      <c r="D215" s="81"/>
      <c r="E215" s="81"/>
      <c r="F215" s="81"/>
      <c r="G215" s="81"/>
      <c r="H215" s="81"/>
      <c r="I215" s="81"/>
      <c r="J215" s="81"/>
      <c r="K215" s="82"/>
      <c r="L215" s="80"/>
      <c r="M215" s="81"/>
      <c r="N215" s="81"/>
      <c r="O215" s="81"/>
      <c r="P215" s="81"/>
      <c r="Q215" s="81"/>
      <c r="R215" s="81"/>
      <c r="S215" s="81"/>
      <c r="T215" s="81"/>
      <c r="U215" s="82"/>
      <c r="V215" s="80"/>
      <c r="W215" s="81"/>
      <c r="X215" s="81"/>
      <c r="Y215" s="81"/>
      <c r="Z215" s="81"/>
      <c r="AA215" s="81"/>
      <c r="AB215" s="81"/>
      <c r="AC215" s="81"/>
      <c r="AD215" s="82"/>
      <c r="AG215" s="1" t="str">
        <f t="shared" si="4"/>
        <v/>
      </c>
      <c r="AH215" s="1"/>
    </row>
    <row r="216" spans="2:34" s="1" customFormat="1" x14ac:dyDescent="0.25" hidden="true">
      <c r="B216" s="72" t="s">
        <v>42</v>
      </c>
      <c r="C216" s="73"/>
      <c r="D216" s="73"/>
      <c r="E216" s="73"/>
      <c r="F216" s="73"/>
      <c r="G216" s="73"/>
      <c r="H216" s="73"/>
      <c r="I216" s="74"/>
      <c r="J216" s="74"/>
      <c r="K216" s="32"/>
      <c r="L216" s="72" t="s">
        <v>42</v>
      </c>
      <c r="M216" s="73"/>
      <c r="N216" s="73"/>
      <c r="O216" s="73"/>
      <c r="P216" s="73"/>
      <c r="Q216" s="73"/>
      <c r="R216" s="73"/>
      <c r="S216" s="74"/>
      <c r="T216" s="74"/>
      <c r="U216" s="31"/>
      <c r="V216" s="30" t="s">
        <v>42</v>
      </c>
      <c r="W216" s="30"/>
      <c r="X216" s="30"/>
      <c r="Y216" s="30"/>
      <c r="Z216" s="30"/>
      <c r="AA216" s="30"/>
      <c r="AB216" s="55"/>
      <c r="AC216" s="74"/>
      <c r="AD216" s="84"/>
      <c r="AG216" s="1" t="str">
        <f t="shared" si="4"/>
        <v/>
      </c>
      <c r="AH216" s="1"/>
    </row>
    <row r="217" spans="2:34" s="1" customFormat="1" ht="15" customHeight="1" x14ac:dyDescent="0.25" hidden="true">
      <c r="B217" s="77" t="s">
        <v>43</v>
      </c>
      <c r="C217" s="78"/>
      <c r="D217" s="78"/>
      <c r="E217" s="78"/>
      <c r="F217" s="78"/>
      <c r="G217" s="78"/>
      <c r="H217" s="78"/>
      <c r="I217" s="78"/>
      <c r="J217" s="78"/>
      <c r="K217" s="79"/>
      <c r="L217" s="77" t="s">
        <v>43</v>
      </c>
      <c r="M217" s="78"/>
      <c r="N217" s="78"/>
      <c r="O217" s="78"/>
      <c r="P217" s="78"/>
      <c r="Q217" s="78"/>
      <c r="R217" s="78"/>
      <c r="S217" s="78"/>
      <c r="T217" s="78"/>
      <c r="U217" s="79"/>
      <c r="V217" s="77" t="s">
        <v>43</v>
      </c>
      <c r="W217" s="78"/>
      <c r="X217" s="78"/>
      <c r="Y217" s="78"/>
      <c r="Z217" s="78"/>
      <c r="AA217" s="78"/>
      <c r="AB217" s="78"/>
      <c r="AC217" s="78"/>
      <c r="AD217" s="79"/>
      <c r="AG217" s="1" t="str">
        <f t="shared" si="4"/>
        <v/>
      </c>
      <c r="AH217" s="1"/>
    </row>
    <row r="218" spans="2:34" s="1" customFormat="1" ht="15" customHeight="1" x14ac:dyDescent="0.25" hidden="true">
      <c r="B218" s="66" t="str">
        <f>AG212</f>
        <v/>
      </c>
      <c r="C218" s="67"/>
      <c r="D218" s="67"/>
      <c r="E218" s="67"/>
      <c r="F218" s="67"/>
      <c r="G218" s="67"/>
      <c r="H218" s="67"/>
      <c r="I218" s="67"/>
      <c r="J218" s="67"/>
      <c r="K218" s="68"/>
      <c r="L218" s="66" t="str">
        <f>AG213</f>
        <v/>
      </c>
      <c r="M218" s="67"/>
      <c r="N218" s="67"/>
      <c r="O218" s="67"/>
      <c r="P218" s="67"/>
      <c r="Q218" s="67"/>
      <c r="R218" s="67"/>
      <c r="S218" s="67"/>
      <c r="T218" s="67"/>
      <c r="U218" s="68"/>
      <c r="V218" s="66" t="str">
        <f>AG215</f>
        <v/>
      </c>
      <c r="W218" s="67"/>
      <c r="X218" s="67"/>
      <c r="Y218" s="67"/>
      <c r="Z218" s="67"/>
      <c r="AA218" s="67"/>
      <c r="AB218" s="67"/>
      <c r="AC218" s="67"/>
      <c r="AD218" s="68"/>
      <c r="AG218" s="1" t="str">
        <f t="shared" si="4"/>
        <v/>
      </c>
      <c r="AH218" s="1"/>
    </row>
    <row r="219" spans="2:34" s="1" customFormat="1" x14ac:dyDescent="0.25" hidden="true">
      <c r="B219" s="66"/>
      <c r="C219" s="67"/>
      <c r="D219" s="67"/>
      <c r="E219" s="67"/>
      <c r="F219" s="67"/>
      <c r="G219" s="67"/>
      <c r="H219" s="67"/>
      <c r="I219" s="67"/>
      <c r="J219" s="67"/>
      <c r="K219" s="68"/>
      <c r="L219" s="66"/>
      <c r="M219" s="67"/>
      <c r="N219" s="67"/>
      <c r="O219" s="67"/>
      <c r="P219" s="67"/>
      <c r="Q219" s="67"/>
      <c r="R219" s="67"/>
      <c r="S219" s="67"/>
      <c r="T219" s="67"/>
      <c r="U219" s="68"/>
      <c r="V219" s="66"/>
      <c r="W219" s="67"/>
      <c r="X219" s="67"/>
      <c r="Y219" s="67"/>
      <c r="Z219" s="67"/>
      <c r="AA219" s="67"/>
      <c r="AB219" s="67"/>
      <c r="AC219" s="67"/>
      <c r="AD219" s="68"/>
      <c r="AG219" s="1" t="str">
        <f t="shared" si="4"/>
        <v/>
      </c>
      <c r="AH219" s="1"/>
    </row>
    <row r="220" spans="2:34" s="1" customFormat="1" x14ac:dyDescent="0.25" hidden="true">
      <c r="B220" s="66"/>
      <c r="C220" s="67"/>
      <c r="D220" s="67"/>
      <c r="E220" s="67"/>
      <c r="F220" s="67"/>
      <c r="G220" s="67"/>
      <c r="H220" s="67"/>
      <c r="I220" s="67"/>
      <c r="J220" s="67"/>
      <c r="K220" s="68"/>
      <c r="L220" s="66"/>
      <c r="M220" s="67"/>
      <c r="N220" s="67"/>
      <c r="O220" s="67"/>
      <c r="P220" s="67"/>
      <c r="Q220" s="67"/>
      <c r="R220" s="67"/>
      <c r="S220" s="67"/>
      <c r="T220" s="67"/>
      <c r="U220" s="68"/>
      <c r="V220" s="66"/>
      <c r="W220" s="67"/>
      <c r="X220" s="67"/>
      <c r="Y220" s="67"/>
      <c r="Z220" s="67"/>
      <c r="AA220" s="67"/>
      <c r="AB220" s="67"/>
      <c r="AC220" s="67"/>
      <c r="AD220" s="68"/>
      <c r="AG220" s="1" t="str">
        <f t="shared" si="4"/>
        <v/>
      </c>
      <c r="AH220" s="57"/>
    </row>
    <row r="221" spans="2:34" s="1" customFormat="1" x14ac:dyDescent="0.25" hidden="true">
      <c r="B221" s="66"/>
      <c r="C221" s="67"/>
      <c r="D221" s="67"/>
      <c r="E221" s="67"/>
      <c r="F221" s="67"/>
      <c r="G221" s="67"/>
      <c r="H221" s="67"/>
      <c r="I221" s="67"/>
      <c r="J221" s="67"/>
      <c r="K221" s="68"/>
      <c r="L221" s="66"/>
      <c r="M221" s="67"/>
      <c r="N221" s="67"/>
      <c r="O221" s="67"/>
      <c r="P221" s="67"/>
      <c r="Q221" s="67"/>
      <c r="R221" s="67"/>
      <c r="S221" s="67"/>
      <c r="T221" s="67"/>
      <c r="U221" s="68"/>
      <c r="V221" s="66"/>
      <c r="W221" s="67"/>
      <c r="X221" s="67"/>
      <c r="Y221" s="67"/>
      <c r="Z221" s="67"/>
      <c r="AA221" s="67"/>
      <c r="AB221" s="67"/>
      <c r="AC221" s="67"/>
      <c r="AD221" s="68"/>
      <c r="AG221" s="1" t="str">
        <f t="shared" si="4"/>
        <v/>
      </c>
      <c r="AH221" s="57"/>
    </row>
    <row r="222" spans="2:34" s="1" customFormat="1" ht="6.95" customHeight="1" x14ac:dyDescent="0.25" hidden="true">
      <c r="B222" s="69"/>
      <c r="C222" s="70"/>
      <c r="D222" s="70"/>
      <c r="E222" s="70"/>
      <c r="F222" s="70"/>
      <c r="G222" s="70"/>
      <c r="H222" s="70"/>
      <c r="I222" s="70"/>
      <c r="J222" s="70"/>
      <c r="K222" s="71"/>
      <c r="L222" s="69"/>
      <c r="M222" s="70"/>
      <c r="N222" s="70"/>
      <c r="O222" s="70"/>
      <c r="P222" s="70"/>
      <c r="Q222" s="70"/>
      <c r="R222" s="70"/>
      <c r="S222" s="70"/>
      <c r="T222" s="70"/>
      <c r="U222" s="71"/>
      <c r="V222" s="69"/>
      <c r="W222" s="70"/>
      <c r="X222" s="70"/>
      <c r="Y222" s="70"/>
      <c r="Z222" s="70"/>
      <c r="AA222" s="70"/>
      <c r="AB222" s="70"/>
      <c r="AC222" s="70"/>
      <c r="AD222" s="71"/>
    </row>
    <row r="223" spans="2:34" s="1" customFormat="1" x14ac:dyDescent="0.25" hidden="true">
      <c r="B223" s="80"/>
      <c r="C223" s="81"/>
      <c r="D223" s="81"/>
      <c r="E223" s="81"/>
      <c r="F223" s="81"/>
      <c r="G223" s="81"/>
      <c r="H223" s="81"/>
      <c r="I223" s="81"/>
      <c r="J223" s="81"/>
      <c r="K223" s="82"/>
      <c r="L223" s="80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81"/>
      <c r="AD223" s="82"/>
    </row>
    <row r="224" spans="2:34" s="1" customFormat="1" x14ac:dyDescent="0.25" hidden="true">
      <c r="B224" s="72" t="s">
        <v>42</v>
      </c>
      <c r="C224" s="73"/>
      <c r="D224" s="73"/>
      <c r="E224" s="73"/>
      <c r="F224" s="73"/>
      <c r="G224" s="73"/>
      <c r="H224" s="73"/>
      <c r="I224" s="74"/>
      <c r="J224" s="74"/>
      <c r="K224" s="32"/>
      <c r="L224" s="72" t="s">
        <v>42</v>
      </c>
      <c r="M224" s="73"/>
      <c r="N224" s="73"/>
      <c r="O224" s="73"/>
      <c r="P224" s="73"/>
      <c r="Q224" s="73"/>
      <c r="R224" s="73"/>
      <c r="S224" s="74"/>
      <c r="T224" s="74"/>
      <c r="U224" s="28"/>
      <c r="V224" s="35"/>
      <c r="W224" s="35"/>
      <c r="X224" s="35"/>
      <c r="Y224" s="35"/>
      <c r="Z224" s="35"/>
      <c r="AA224" s="35"/>
      <c r="AB224" s="35"/>
      <c r="AC224" s="75"/>
      <c r="AD224" s="76"/>
    </row>
    <row r="225" spans="2:33" s="1" customFormat="1" ht="15" customHeight="1" x14ac:dyDescent="0.25" hidden="true">
      <c r="B225" s="77" t="s">
        <v>43</v>
      </c>
      <c r="C225" s="78"/>
      <c r="D225" s="78"/>
      <c r="E225" s="78"/>
      <c r="F225" s="78"/>
      <c r="G225" s="78"/>
      <c r="H225" s="78"/>
      <c r="I225" s="78"/>
      <c r="J225" s="78"/>
      <c r="K225" s="79"/>
      <c r="L225" s="77" t="s">
        <v>43</v>
      </c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9"/>
    </row>
    <row r="226" spans="2:33" s="1" customFormat="1" ht="15" customHeight="1" x14ac:dyDescent="0.25" hidden="true">
      <c r="B226" s="66" t="str">
        <f>AG216</f>
        <v/>
      </c>
      <c r="C226" s="67"/>
      <c r="D226" s="67"/>
      <c r="E226" s="67"/>
      <c r="F226" s="67"/>
      <c r="G226" s="67"/>
      <c r="H226" s="67"/>
      <c r="I226" s="67"/>
      <c r="J226" s="67"/>
      <c r="K226" s="68"/>
      <c r="L226" s="66" t="str">
        <f>AG217</f>
        <v/>
      </c>
      <c r="M226" s="67"/>
      <c r="N226" s="67"/>
      <c r="O226" s="67"/>
      <c r="P226" s="67"/>
      <c r="Q226" s="67"/>
      <c r="R226" s="67"/>
      <c r="S226" s="67"/>
      <c r="T226" s="67"/>
      <c r="U226" s="67"/>
      <c r="V226" s="67"/>
      <c r="W226" s="67"/>
      <c r="X226" s="67"/>
      <c r="Y226" s="67"/>
      <c r="Z226" s="67"/>
      <c r="AA226" s="67"/>
      <c r="AB226" s="67"/>
      <c r="AC226" s="67"/>
      <c r="AD226" s="68"/>
    </row>
    <row r="227" spans="2:33" s="1" customFormat="1" x14ac:dyDescent="0.25" hidden="true">
      <c r="B227" s="66"/>
      <c r="C227" s="67"/>
      <c r="D227" s="67"/>
      <c r="E227" s="67"/>
      <c r="F227" s="67"/>
      <c r="G227" s="67"/>
      <c r="H227" s="67"/>
      <c r="I227" s="67"/>
      <c r="J227" s="67"/>
      <c r="K227" s="68"/>
      <c r="L227" s="66"/>
      <c r="M227" s="67"/>
      <c r="N227" s="67"/>
      <c r="O227" s="67"/>
      <c r="P227" s="67"/>
      <c r="Q227" s="67"/>
      <c r="R227" s="67"/>
      <c r="S227" s="67"/>
      <c r="T227" s="67"/>
      <c r="U227" s="67"/>
      <c r="V227" s="67"/>
      <c r="W227" s="67"/>
      <c r="X227" s="67"/>
      <c r="Y227" s="67"/>
      <c r="Z227" s="67"/>
      <c r="AA227" s="67"/>
      <c r="AB227" s="67"/>
      <c r="AC227" s="67"/>
      <c r="AD227" s="68"/>
    </row>
    <row r="228" spans="2:33" s="1" customFormat="1" x14ac:dyDescent="0.25" hidden="true">
      <c r="B228" s="66"/>
      <c r="C228" s="67"/>
      <c r="D228" s="67"/>
      <c r="E228" s="67"/>
      <c r="F228" s="67"/>
      <c r="G228" s="67"/>
      <c r="H228" s="67"/>
      <c r="I228" s="67"/>
      <c r="J228" s="67"/>
      <c r="K228" s="68"/>
      <c r="L228" s="66"/>
      <c r="M228" s="67"/>
      <c r="N228" s="67"/>
      <c r="O228" s="67"/>
      <c r="P228" s="67"/>
      <c r="Q228" s="67"/>
      <c r="R228" s="67"/>
      <c r="S228" s="67"/>
      <c r="T228" s="67"/>
      <c r="U228" s="67"/>
      <c r="V228" s="67"/>
      <c r="W228" s="67"/>
      <c r="X228" s="67"/>
      <c r="Y228" s="67"/>
      <c r="Z228" s="67"/>
      <c r="AA228" s="67"/>
      <c r="AB228" s="67"/>
      <c r="AC228" s="67"/>
      <c r="AD228" s="68"/>
    </row>
    <row r="229" spans="2:33" s="1" customFormat="1" x14ac:dyDescent="0.25" hidden="true">
      <c r="B229" s="66"/>
      <c r="C229" s="67"/>
      <c r="D229" s="67"/>
      <c r="E229" s="67"/>
      <c r="F229" s="67"/>
      <c r="G229" s="67"/>
      <c r="H229" s="67"/>
      <c r="I229" s="67"/>
      <c r="J229" s="67"/>
      <c r="K229" s="68"/>
      <c r="L229" s="66"/>
      <c r="M229" s="67"/>
      <c r="N229" s="67"/>
      <c r="O229" s="67"/>
      <c r="P229" s="67"/>
      <c r="Q229" s="67"/>
      <c r="R229" s="67"/>
      <c r="S229" s="67"/>
      <c r="T229" s="67"/>
      <c r="U229" s="67"/>
      <c r="V229" s="67"/>
      <c r="W229" s="67"/>
      <c r="X229" s="67"/>
      <c r="Y229" s="67"/>
      <c r="Z229" s="67"/>
      <c r="AA229" s="67"/>
      <c r="AB229" s="67"/>
      <c r="AC229" s="67"/>
      <c r="AD229" s="68"/>
    </row>
    <row r="230" spans="2:33" s="1" customFormat="1" ht="6.95" customHeight="1" x14ac:dyDescent="0.25" hidden="true">
      <c r="B230" s="69"/>
      <c r="C230" s="70"/>
      <c r="D230" s="70"/>
      <c r="E230" s="70"/>
      <c r="F230" s="70"/>
      <c r="G230" s="70"/>
      <c r="H230" s="70"/>
      <c r="I230" s="70"/>
      <c r="J230" s="70"/>
      <c r="K230" s="71"/>
      <c r="L230" s="69"/>
      <c r="M230" s="70"/>
      <c r="N230" s="70"/>
      <c r="O230" s="70"/>
      <c r="P230" s="70"/>
      <c r="Q230" s="70"/>
      <c r="R230" s="70"/>
      <c r="S230" s="70"/>
      <c r="T230" s="70"/>
      <c r="U230" s="70"/>
      <c r="V230" s="70"/>
      <c r="W230" s="70"/>
      <c r="X230" s="70"/>
      <c r="Y230" s="70"/>
      <c r="Z230" s="70"/>
      <c r="AA230" s="70"/>
      <c r="AB230" s="70"/>
      <c r="AC230" s="70"/>
      <c r="AD230" s="71"/>
    </row>
    <row r="231" spans="2:33" s="1" customFormat="1" x14ac:dyDescent="0.25" hidden="true">
      <c r="B231" s="60" t="s">
        <v>44</v>
      </c>
      <c r="C231" s="61"/>
      <c r="D231" s="61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2"/>
      <c r="P231" s="60" t="s">
        <v>45</v>
      </c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2"/>
    </row>
    <row r="232" spans="2:33" s="1" customFormat="1" ht="15" customHeight="1" x14ac:dyDescent="0.25" hidden="true">
      <c r="B232" s="63" t="str">
        <f>AG218</f>
        <v/>
      </c>
      <c r="C232" s="64"/>
      <c r="D232" s="64"/>
      <c r="E232" s="64"/>
      <c r="F232" s="64"/>
      <c r="G232" s="64"/>
      <c r="H232" s="64"/>
      <c r="I232" s="64"/>
      <c r="J232" s="64"/>
      <c r="K232" s="64"/>
      <c r="L232" s="64"/>
      <c r="M232" s="64"/>
      <c r="N232" s="64"/>
      <c r="O232" s="65"/>
      <c r="P232" s="63" t="str">
        <f>AG219</f>
        <v/>
      </c>
      <c r="Q232" s="64"/>
      <c r="R232" s="64"/>
      <c r="S232" s="64"/>
      <c r="T232" s="64"/>
      <c r="U232" s="64"/>
      <c r="V232" s="64"/>
      <c r="W232" s="64"/>
      <c r="X232" s="64"/>
      <c r="Y232" s="64"/>
      <c r="Z232" s="64"/>
      <c r="AA232" s="64"/>
      <c r="AB232" s="64"/>
      <c r="AC232" s="64"/>
      <c r="AD232" s="65"/>
    </row>
    <row r="233" spans="2:33" s="1" customFormat="1" ht="15" customHeight="1" x14ac:dyDescent="0.25" hidden="true">
      <c r="B233" s="66"/>
      <c r="C233" s="67"/>
      <c r="D233" s="67"/>
      <c r="E233" s="67"/>
      <c r="F233" s="67"/>
      <c r="G233" s="67"/>
      <c r="H233" s="67"/>
      <c r="I233" s="67"/>
      <c r="J233" s="67"/>
      <c r="K233" s="67"/>
      <c r="L233" s="67"/>
      <c r="M233" s="67"/>
      <c r="N233" s="67"/>
      <c r="O233" s="68"/>
      <c r="P233" s="66"/>
      <c r="Q233" s="67"/>
      <c r="R233" s="67"/>
      <c r="S233" s="67"/>
      <c r="T233" s="67"/>
      <c r="U233" s="67"/>
      <c r="V233" s="67"/>
      <c r="W233" s="67"/>
      <c r="X233" s="67"/>
      <c r="Y233" s="67"/>
      <c r="Z233" s="67"/>
      <c r="AA233" s="67"/>
      <c r="AB233" s="67"/>
      <c r="AC233" s="67"/>
      <c r="AD233" s="68"/>
    </row>
    <row r="234" spans="2:33" s="1" customFormat="1" x14ac:dyDescent="0.25" hidden="true">
      <c r="B234" s="66"/>
      <c r="C234" s="67"/>
      <c r="D234" s="67"/>
      <c r="E234" s="67"/>
      <c r="F234" s="67"/>
      <c r="G234" s="67"/>
      <c r="H234" s="67"/>
      <c r="I234" s="67"/>
      <c r="J234" s="67"/>
      <c r="K234" s="67"/>
      <c r="L234" s="67"/>
      <c r="M234" s="67"/>
      <c r="N234" s="67"/>
      <c r="O234" s="68"/>
      <c r="P234" s="66"/>
      <c r="Q234" s="67"/>
      <c r="R234" s="67"/>
      <c r="S234" s="67"/>
      <c r="T234" s="67"/>
      <c r="U234" s="67"/>
      <c r="V234" s="67"/>
      <c r="W234" s="67"/>
      <c r="X234" s="67"/>
      <c r="Y234" s="67"/>
      <c r="Z234" s="67"/>
      <c r="AA234" s="67"/>
      <c r="AB234" s="67"/>
      <c r="AC234" s="67"/>
      <c r="AD234" s="68"/>
    </row>
    <row r="235" spans="2:33" s="1" customFormat="1" x14ac:dyDescent="0.25" hidden="true">
      <c r="B235" s="69"/>
      <c r="C235" s="70"/>
      <c r="D235" s="70"/>
      <c r="E235" s="70"/>
      <c r="F235" s="70"/>
      <c r="G235" s="70"/>
      <c r="H235" s="70"/>
      <c r="I235" s="70"/>
      <c r="J235" s="70"/>
      <c r="K235" s="70"/>
      <c r="L235" s="70"/>
      <c r="M235" s="70"/>
      <c r="N235" s="70"/>
      <c r="O235" s="71"/>
      <c r="P235" s="69"/>
      <c r="Q235" s="70"/>
      <c r="R235" s="70"/>
      <c r="S235" s="70"/>
      <c r="T235" s="70"/>
      <c r="U235" s="70"/>
      <c r="V235" s="70"/>
      <c r="W235" s="70"/>
      <c r="X235" s="70"/>
      <c r="Y235" s="70"/>
      <c r="Z235" s="70"/>
      <c r="AA235" s="70"/>
      <c r="AB235" s="70"/>
      <c r="AC235" s="70"/>
      <c r="AD235" s="71"/>
    </row>
    <row r="236" spans="2:33" s="1" customFormat="1" x14ac:dyDescent="0.25" hidden="true">
      <c r="B236" s="60" t="s">
        <v>46</v>
      </c>
      <c r="C236" s="61"/>
      <c r="D236" s="61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2"/>
      <c r="P236" s="60" t="s">
        <v>47</v>
      </c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2"/>
    </row>
    <row r="237" spans="2:33" s="1" customFormat="1" ht="15" customHeight="1" x14ac:dyDescent="0.25" hidden="true">
      <c r="B237" s="63" t="str">
        <f>AG220</f>
        <v/>
      </c>
      <c r="C237" s="64"/>
      <c r="D237" s="64"/>
      <c r="E237" s="64"/>
      <c r="F237" s="64"/>
      <c r="G237" s="64"/>
      <c r="H237" s="64"/>
      <c r="I237" s="64"/>
      <c r="J237" s="64"/>
      <c r="K237" s="64"/>
      <c r="L237" s="64"/>
      <c r="M237" s="64"/>
      <c r="N237" s="64"/>
      <c r="O237" s="65"/>
      <c r="P237" s="63" t="str">
        <f>AG221</f>
        <v/>
      </c>
      <c r="Q237" s="64"/>
      <c r="R237" s="64"/>
      <c r="S237" s="64"/>
      <c r="T237" s="64"/>
      <c r="U237" s="64"/>
      <c r="V237" s="64"/>
      <c r="W237" s="64"/>
      <c r="X237" s="64"/>
      <c r="Y237" s="64"/>
      <c r="Z237" s="64"/>
      <c r="AA237" s="64"/>
      <c r="AB237" s="64"/>
      <c r="AC237" s="64"/>
      <c r="AD237" s="65"/>
    </row>
    <row r="238" spans="2:33" s="1" customFormat="1" ht="15" customHeight="1" x14ac:dyDescent="0.25" hidden="true">
      <c r="B238" s="66"/>
      <c r="C238" s="67"/>
      <c r="D238" s="67"/>
      <c r="E238" s="67"/>
      <c r="F238" s="67"/>
      <c r="G238" s="67"/>
      <c r="H238" s="67"/>
      <c r="I238" s="67"/>
      <c r="J238" s="67"/>
      <c r="K238" s="67"/>
      <c r="L238" s="67"/>
      <c r="M238" s="67"/>
      <c r="N238" s="67"/>
      <c r="O238" s="68"/>
      <c r="P238" s="66"/>
      <c r="Q238" s="67"/>
      <c r="R238" s="67"/>
      <c r="S238" s="67"/>
      <c r="T238" s="67"/>
      <c r="U238" s="67"/>
      <c r="V238" s="67"/>
      <c r="W238" s="67"/>
      <c r="X238" s="67"/>
      <c r="Y238" s="67"/>
      <c r="Z238" s="67"/>
      <c r="AA238" s="67"/>
      <c r="AB238" s="67"/>
      <c r="AC238" s="67"/>
      <c r="AD238" s="68"/>
    </row>
    <row r="239" spans="2:33" s="1" customFormat="1" x14ac:dyDescent="0.25" hidden="true">
      <c r="B239" s="69"/>
      <c r="C239" s="70"/>
      <c r="D239" s="70"/>
      <c r="E239" s="70"/>
      <c r="F239" s="70"/>
      <c r="G239" s="70"/>
      <c r="H239" s="70"/>
      <c r="I239" s="70"/>
      <c r="J239" s="70"/>
      <c r="K239" s="70"/>
      <c r="L239" s="70"/>
      <c r="M239" s="70"/>
      <c r="N239" s="70"/>
      <c r="O239" s="71"/>
      <c r="P239" s="69"/>
      <c r="Q239" s="70"/>
      <c r="R239" s="70"/>
      <c r="S239" s="70"/>
      <c r="T239" s="70"/>
      <c r="U239" s="70"/>
      <c r="V239" s="70"/>
      <c r="W239" s="70"/>
      <c r="X239" s="70"/>
      <c r="Y239" s="70"/>
      <c r="Z239" s="70"/>
      <c r="AA239" s="70"/>
      <c r="AB239" s="70"/>
      <c r="AC239" s="70"/>
      <c r="AD239" s="71"/>
      <c r="AF239"/>
      <c r="AG239"/>
    </row>
    <row r="240" spans="2:33" s="1" customFormat="1" ht="6.95" customHeight="1" x14ac:dyDescent="0.25" hidden="true"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F240"/>
    </row>
    <row r="241" spans="2:30" s="56" customFormat="1" x14ac:dyDescent="0.25" hidden="true">
      <c r="B241" s="59" t="s">
        <v>577</v>
      </c>
      <c r="C241" s="59"/>
      <c r="D241" s="59"/>
      <c r="E241" s="59"/>
      <c r="F241" s="59"/>
      <c r="G241" s="59"/>
      <c r="H241" s="59"/>
      <c r="I241" s="59" t="s">
        <v>577</v>
      </c>
      <c r="J241" s="59"/>
      <c r="K241" s="59"/>
      <c r="L241" s="59"/>
      <c r="M241" s="59"/>
      <c r="N241" s="59"/>
      <c r="O241" s="59"/>
      <c r="P241" s="59" t="s">
        <v>577</v>
      </c>
      <c r="Q241" s="59"/>
      <c r="R241" s="59"/>
      <c r="S241" s="59"/>
      <c r="T241" s="59"/>
      <c r="U241" s="59"/>
      <c r="V241" s="59"/>
      <c r="W241" s="59" t="s">
        <v>577</v>
      </c>
      <c r="X241" s="59"/>
      <c r="Y241" s="59"/>
      <c r="Z241" s="59"/>
      <c r="AA241" s="59"/>
      <c r="AB241" s="59"/>
      <c r="AC241" s="59"/>
      <c r="AD241" s="58"/>
    </row>
    <row r="242" spans="2:30" s="56" customFormat="1" x14ac:dyDescent="0.25" hidden="true">
      <c r="B242" s="59"/>
      <c r="C242" s="59"/>
      <c r="D242" s="59"/>
      <c r="E242" s="59"/>
      <c r="F242" s="59"/>
      <c r="G242" s="59"/>
      <c r="H242" s="59"/>
      <c r="I242" s="59"/>
      <c r="J242" s="59"/>
      <c r="K242" s="59"/>
      <c r="L242" s="59"/>
      <c r="M242" s="59"/>
      <c r="N242" s="59"/>
      <c r="O242" s="59"/>
      <c r="P242" s="59"/>
      <c r="Q242" s="59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59"/>
      <c r="AD242" s="58"/>
    </row>
    <row r="243" spans="2:30" s="56" customFormat="1" x14ac:dyDescent="0.25" hidden="true">
      <c r="B243" s="59"/>
      <c r="C243" s="59"/>
      <c r="D243" s="59"/>
      <c r="E243" s="59"/>
      <c r="F243" s="59"/>
      <c r="G243" s="59"/>
      <c r="H243" s="59"/>
      <c r="I243" s="59"/>
      <c r="J243" s="59"/>
      <c r="K243" s="59"/>
      <c r="L243" s="59"/>
      <c r="M243" s="59"/>
      <c r="N243" s="59"/>
      <c r="O243" s="59"/>
      <c r="P243" s="59"/>
      <c r="Q243" s="59"/>
      <c r="R243" s="59"/>
      <c r="S243" s="59"/>
      <c r="T243" s="59"/>
      <c r="U243" s="59"/>
      <c r="V243" s="59"/>
      <c r="W243" s="59"/>
      <c r="X243" s="59"/>
      <c r="Y243" s="59"/>
      <c r="Z243" s="59"/>
      <c r="AA243" s="59"/>
      <c r="AB243" s="59"/>
      <c r="AC243" s="59"/>
      <c r="AD243" s="58"/>
    </row>
    <row r="244" spans="2:30" s="56" customFormat="1" x14ac:dyDescent="0.25" hidden="true">
      <c r="B244" s="59"/>
      <c r="C244" s="59"/>
      <c r="D244" s="59"/>
      <c r="E244" s="59"/>
      <c r="F244" s="59"/>
      <c r="G244" s="59"/>
      <c r="H244" s="59"/>
      <c r="I244" s="59"/>
      <c r="J244" s="59"/>
      <c r="K244" s="59"/>
      <c r="L244" s="59"/>
      <c r="M244" s="59"/>
      <c r="N244" s="59"/>
      <c r="O244" s="59"/>
      <c r="P244" s="59"/>
      <c r="Q244" s="59"/>
      <c r="R244" s="59"/>
      <c r="S244" s="59"/>
      <c r="T244" s="59"/>
      <c r="U244" s="59"/>
      <c r="V244" s="59"/>
      <c r="W244" s="59"/>
      <c r="X244" s="59"/>
      <c r="Y244" s="59"/>
      <c r="Z244" s="59"/>
      <c r="AA244" s="59"/>
      <c r="AB244" s="59"/>
      <c r="AC244" s="59"/>
      <c r="AD244" s="58"/>
    </row>
    <row r="245" spans="2:30" s="56" customFormat="1" x14ac:dyDescent="0.25" hidden="true">
      <c r="B245" s="59"/>
      <c r="C245" s="59"/>
      <c r="D245" s="59"/>
      <c r="E245" s="59"/>
      <c r="F245" s="59"/>
      <c r="G245" s="59"/>
      <c r="H245" s="59"/>
      <c r="I245" s="59"/>
      <c r="J245" s="59"/>
      <c r="K245" s="59"/>
      <c r="L245" s="59"/>
      <c r="M245" s="59"/>
      <c r="N245" s="59"/>
      <c r="O245" s="59"/>
      <c r="P245" s="59"/>
      <c r="Q245" s="59"/>
      <c r="R245" s="59"/>
      <c r="S245" s="59"/>
      <c r="T245" s="59"/>
      <c r="U245" s="59"/>
      <c r="V245" s="59"/>
      <c r="W245" s="59"/>
      <c r="X245" s="59"/>
      <c r="Y245" s="59"/>
      <c r="Z245" s="59"/>
      <c r="AA245" s="59"/>
      <c r="AB245" s="59"/>
      <c r="AC245" s="59"/>
      <c r="AD245" s="58"/>
    </row>
    <row r="246" spans="2:30" s="56" customFormat="1" x14ac:dyDescent="0.25" hidden="true">
      <c r="B246" s="59"/>
      <c r="C246" s="59"/>
      <c r="D246" s="59"/>
      <c r="E246" s="59"/>
      <c r="F246" s="59"/>
      <c r="G246" s="59"/>
      <c r="H246" s="59"/>
      <c r="I246" s="59"/>
      <c r="J246" s="59"/>
      <c r="K246" s="59"/>
      <c r="L246" s="59"/>
      <c r="M246" s="59"/>
      <c r="N246" s="59"/>
      <c r="O246" s="59"/>
      <c r="P246" s="59"/>
      <c r="Q246" s="59"/>
      <c r="R246" s="59"/>
      <c r="S246" s="59"/>
      <c r="T246" s="59"/>
      <c r="U246" s="59"/>
      <c r="V246" s="59"/>
      <c r="W246" s="59"/>
      <c r="X246" s="59"/>
      <c r="Y246" s="59"/>
      <c r="Z246" s="59"/>
      <c r="AA246" s="59"/>
      <c r="AB246" s="59"/>
      <c r="AC246" s="59"/>
      <c r="AD246" s="58"/>
    </row>
    <row r="247" spans="2:30" s="44" customFormat="1" x14ac:dyDescent="0.25" hidden="true">
      <c r="B247" s="59"/>
      <c r="C247" s="59"/>
      <c r="D247" s="59"/>
      <c r="E247" s="59"/>
      <c r="F247" s="59"/>
      <c r="G247" s="59"/>
      <c r="H247" s="59"/>
      <c r="I247" s="59"/>
      <c r="J247" s="59"/>
      <c r="K247" s="59"/>
      <c r="L247" s="59"/>
      <c r="M247" s="59"/>
      <c r="N247" s="59"/>
      <c r="O247" s="59"/>
      <c r="P247" s="59"/>
      <c r="Q247" s="59"/>
      <c r="R247" s="59"/>
      <c r="S247" s="59"/>
      <c r="T247" s="59"/>
      <c r="U247" s="59"/>
      <c r="V247" s="59"/>
      <c r="W247" s="59"/>
      <c r="X247" s="59"/>
      <c r="Y247" s="59"/>
      <c r="Z247" s="59"/>
      <c r="AA247" s="59"/>
      <c r="AB247" s="59"/>
      <c r="AC247" s="59"/>
      <c r="AD247" s="58"/>
    </row>
    <row r="248" spans="2:30" s="44" customFormat="1" x14ac:dyDescent="0.25" hidden="true">
      <c r="B248" s="59" t="s">
        <v>577</v>
      </c>
      <c r="C248" s="59"/>
      <c r="D248" s="59"/>
      <c r="E248" s="59"/>
      <c r="F248" s="59"/>
      <c r="G248" s="59"/>
      <c r="H248" s="59"/>
      <c r="I248" s="59" t="s">
        <v>577</v>
      </c>
      <c r="J248" s="59"/>
      <c r="K248" s="59"/>
      <c r="L248" s="59"/>
      <c r="M248" s="59"/>
      <c r="N248" s="59"/>
      <c r="O248" s="59"/>
      <c r="P248" s="59" t="s">
        <v>577</v>
      </c>
      <c r="Q248" s="59"/>
      <c r="R248" s="59"/>
      <c r="S248" s="59"/>
      <c r="T248" s="59"/>
      <c r="U248" s="59"/>
      <c r="V248" s="59"/>
      <c r="W248" s="59" t="s">
        <v>577</v>
      </c>
      <c r="X248" s="59"/>
      <c r="Y248" s="59"/>
      <c r="Z248" s="59"/>
      <c r="AA248" s="59"/>
      <c r="AB248" s="59"/>
      <c r="AC248" s="59"/>
      <c r="AD248" s="58"/>
    </row>
    <row r="249" spans="2:30" s="44" customFormat="1" x14ac:dyDescent="0.25" hidden="true">
      <c r="B249" s="59"/>
      <c r="C249" s="59"/>
      <c r="D249" s="59"/>
      <c r="E249" s="59"/>
      <c r="F249" s="59"/>
      <c r="G249" s="59"/>
      <c r="H249" s="59"/>
      <c r="I249" s="59"/>
      <c r="J249" s="59"/>
      <c r="K249" s="59"/>
      <c r="L249" s="59"/>
      <c r="M249" s="59"/>
      <c r="N249" s="59"/>
      <c r="O249" s="59"/>
      <c r="P249" s="59"/>
      <c r="Q249" s="59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8"/>
    </row>
    <row r="250" spans="2:30" s="44" customFormat="1" x14ac:dyDescent="0.25" hidden="true">
      <c r="B250" s="59"/>
      <c r="C250" s="59"/>
      <c r="D250" s="59"/>
      <c r="E250" s="59"/>
      <c r="F250" s="59"/>
      <c r="G250" s="59"/>
      <c r="H250" s="59"/>
      <c r="I250" s="59"/>
      <c r="J250" s="59"/>
      <c r="K250" s="59"/>
      <c r="L250" s="59"/>
      <c r="M250" s="59"/>
      <c r="N250" s="59"/>
      <c r="O250" s="59"/>
      <c r="P250" s="59"/>
      <c r="Q250" s="59"/>
      <c r="R250" s="59"/>
      <c r="S250" s="59"/>
      <c r="T250" s="59"/>
      <c r="U250" s="59"/>
      <c r="V250" s="59"/>
      <c r="W250" s="59"/>
      <c r="X250" s="59"/>
      <c r="Y250" s="59"/>
      <c r="Z250" s="59"/>
      <c r="AA250" s="59"/>
      <c r="AB250" s="59"/>
      <c r="AC250" s="59"/>
      <c r="AD250" s="58"/>
    </row>
    <row r="251" spans="2:30" s="44" customFormat="1" ht="6.95" customHeight="1" x14ac:dyDescent="0.25" hidden="true">
      <c r="B251" s="59"/>
      <c r="C251" s="59"/>
      <c r="D251" s="59"/>
      <c r="E251" s="59"/>
      <c r="F251" s="59"/>
      <c r="G251" s="59"/>
      <c r="H251" s="59"/>
      <c r="I251" s="59"/>
      <c r="J251" s="59"/>
      <c r="K251" s="59"/>
      <c r="L251" s="59"/>
      <c r="M251" s="59"/>
      <c r="N251" s="59"/>
      <c r="O251" s="59"/>
      <c r="P251" s="59"/>
      <c r="Q251" s="59"/>
      <c r="R251" s="59"/>
      <c r="S251" s="59"/>
      <c r="T251" s="59"/>
      <c r="U251" s="59"/>
      <c r="V251" s="59"/>
      <c r="W251" s="59"/>
      <c r="X251" s="59"/>
      <c r="Y251" s="59"/>
      <c r="Z251" s="59"/>
      <c r="AA251" s="59"/>
      <c r="AB251" s="59"/>
      <c r="AC251" s="59"/>
      <c r="AD251" s="21"/>
    </row>
    <row r="252" spans="2:30" s="44" customFormat="1" x14ac:dyDescent="0.25" hidden="true">
      <c r="B252" s="59"/>
      <c r="C252" s="59"/>
      <c r="D252" s="59"/>
      <c r="E252" s="59"/>
      <c r="F252" s="59"/>
      <c r="G252" s="59"/>
      <c r="H252" s="59"/>
      <c r="I252" s="59"/>
      <c r="J252" s="59"/>
      <c r="K252" s="59"/>
      <c r="L252" s="59"/>
      <c r="M252" s="59"/>
      <c r="N252" s="59"/>
      <c r="O252" s="59"/>
      <c r="P252" s="59"/>
      <c r="Q252" s="59"/>
      <c r="R252" s="59"/>
      <c r="S252" s="59"/>
      <c r="T252" s="59"/>
      <c r="U252" s="59"/>
      <c r="V252" s="59"/>
      <c r="W252" s="59"/>
      <c r="X252" s="59"/>
      <c r="Y252" s="59"/>
      <c r="Z252" s="59"/>
      <c r="AA252" s="59"/>
      <c r="AB252" s="59"/>
      <c r="AC252" s="59"/>
      <c r="AD252" s="58"/>
    </row>
    <row r="253" spans="2:30" s="44" customFormat="1" x14ac:dyDescent="0.25" hidden="true">
      <c r="B253" s="59"/>
      <c r="C253" s="59"/>
      <c r="D253" s="59"/>
      <c r="E253" s="59"/>
      <c r="F253" s="59"/>
      <c r="G253" s="59"/>
      <c r="H253" s="59"/>
      <c r="I253" s="59"/>
      <c r="J253" s="59"/>
      <c r="K253" s="59"/>
      <c r="L253" s="59"/>
      <c r="M253" s="59"/>
      <c r="N253" s="59"/>
      <c r="O253" s="59"/>
      <c r="P253" s="59"/>
      <c r="Q253" s="59"/>
      <c r="R253" s="59"/>
      <c r="S253" s="59"/>
      <c r="T253" s="59"/>
      <c r="U253" s="59"/>
      <c r="V253" s="59"/>
      <c r="W253" s="59"/>
      <c r="X253" s="59"/>
      <c r="Y253" s="59"/>
      <c r="Z253" s="59"/>
      <c r="AA253" s="59"/>
      <c r="AB253" s="59"/>
      <c r="AC253" s="59"/>
      <c r="AD253" s="58"/>
    </row>
    <row r="254" spans="2:30" s="44" customFormat="1" x14ac:dyDescent="0.25" hidden="true">
      <c r="B254" s="59"/>
      <c r="C254" s="59"/>
      <c r="D254" s="59"/>
      <c r="E254" s="59"/>
      <c r="F254" s="59"/>
      <c r="G254" s="59"/>
      <c r="H254" s="59"/>
      <c r="I254" s="59"/>
      <c r="J254" s="59"/>
      <c r="K254" s="59"/>
      <c r="L254" s="59"/>
      <c r="M254" s="59"/>
      <c r="N254" s="59"/>
      <c r="O254" s="59"/>
      <c r="P254" s="59"/>
      <c r="Q254" s="59"/>
      <c r="R254" s="59"/>
      <c r="S254" s="59"/>
      <c r="T254" s="59"/>
      <c r="U254" s="59"/>
      <c r="V254" s="59"/>
      <c r="W254" s="59"/>
      <c r="X254" s="59"/>
      <c r="Y254" s="59"/>
      <c r="Z254" s="59"/>
      <c r="AA254" s="59"/>
      <c r="AB254" s="59"/>
      <c r="AC254" s="59"/>
      <c r="AD254" s="58"/>
    </row>
    <row r="255" spans="2:30" s="44" customFormat="1" x14ac:dyDescent="0.25" hidden="true">
      <c r="B255" s="59" t="s">
        <v>577</v>
      </c>
      <c r="C255" s="59"/>
      <c r="D255" s="59"/>
      <c r="E255" s="59"/>
      <c r="F255" s="59"/>
      <c r="G255" s="59"/>
      <c r="H255" s="59"/>
      <c r="I255" s="59" t="s">
        <v>577</v>
      </c>
      <c r="J255" s="59"/>
      <c r="K255" s="59"/>
      <c r="L255" s="59"/>
      <c r="M255" s="59"/>
      <c r="N255" s="59"/>
      <c r="O255" s="59"/>
      <c r="P255" s="59" t="s">
        <v>577</v>
      </c>
      <c r="Q255" s="59"/>
      <c r="R255" s="59"/>
      <c r="S255" s="59"/>
      <c r="T255" s="59"/>
      <c r="U255" s="59"/>
      <c r="V255" s="59"/>
      <c r="W255" s="59" t="s">
        <v>577</v>
      </c>
      <c r="X255" s="59"/>
      <c r="Y255" s="59"/>
      <c r="Z255" s="59"/>
      <c r="AA255" s="59"/>
      <c r="AB255" s="59"/>
      <c r="AC255" s="59"/>
      <c r="AD255" s="58"/>
    </row>
    <row r="256" spans="2:30" s="44" customFormat="1" x14ac:dyDescent="0.25" hidden="true">
      <c r="B256" s="59"/>
      <c r="C256" s="59"/>
      <c r="D256" s="59"/>
      <c r="E256" s="59"/>
      <c r="F256" s="59"/>
      <c r="G256" s="59"/>
      <c r="H256" s="59"/>
      <c r="I256" s="59"/>
      <c r="J256" s="59"/>
      <c r="K256" s="59"/>
      <c r="L256" s="59"/>
      <c r="M256" s="59"/>
      <c r="N256" s="59"/>
      <c r="O256" s="59"/>
      <c r="P256" s="59"/>
      <c r="Q256" s="59"/>
      <c r="R256" s="59"/>
      <c r="S256" s="59"/>
      <c r="T256" s="59"/>
      <c r="U256" s="59"/>
      <c r="V256" s="59"/>
      <c r="W256" s="59"/>
      <c r="X256" s="59"/>
      <c r="Y256" s="59"/>
      <c r="Z256" s="59"/>
      <c r="AA256" s="59"/>
      <c r="AB256" s="59"/>
      <c r="AC256" s="59"/>
      <c r="AD256" s="58"/>
    </row>
    <row r="257" spans="2:34" s="44" customFormat="1" x14ac:dyDescent="0.25" hidden="true">
      <c r="B257" s="59"/>
      <c r="C257" s="59"/>
      <c r="D257" s="59"/>
      <c r="E257" s="59"/>
      <c r="F257" s="59"/>
      <c r="G257" s="59"/>
      <c r="H257" s="59"/>
      <c r="I257" s="59"/>
      <c r="J257" s="59"/>
      <c r="K257" s="59"/>
      <c r="L257" s="59"/>
      <c r="M257" s="59"/>
      <c r="N257" s="59"/>
      <c r="O257" s="59"/>
      <c r="P257" s="59"/>
      <c r="Q257" s="59"/>
      <c r="R257" s="59"/>
      <c r="S257" s="59"/>
      <c r="T257" s="59"/>
      <c r="U257" s="59"/>
      <c r="V257" s="59"/>
      <c r="W257" s="59"/>
      <c r="X257" s="59"/>
      <c r="Y257" s="59"/>
      <c r="Z257" s="59"/>
      <c r="AA257" s="59"/>
      <c r="AB257" s="59"/>
      <c r="AC257" s="59"/>
      <c r="AD257" s="58"/>
    </row>
    <row r="258" spans="2:34" s="44" customFormat="1" x14ac:dyDescent="0.25" hidden="true">
      <c r="B258" s="59"/>
      <c r="C258" s="59"/>
      <c r="D258" s="59"/>
      <c r="E258" s="59"/>
      <c r="F258" s="59"/>
      <c r="G258" s="59"/>
      <c r="H258" s="59"/>
      <c r="I258" s="59"/>
      <c r="J258" s="59"/>
      <c r="K258" s="59"/>
      <c r="L258" s="59"/>
      <c r="M258" s="59"/>
      <c r="N258" s="59"/>
      <c r="O258" s="59"/>
      <c r="P258" s="59"/>
      <c r="Q258" s="59"/>
      <c r="R258" s="59"/>
      <c r="S258" s="59"/>
      <c r="T258" s="59"/>
      <c r="U258" s="59"/>
      <c r="V258" s="59"/>
      <c r="W258" s="59"/>
      <c r="X258" s="59"/>
      <c r="Y258" s="59"/>
      <c r="Z258" s="59"/>
      <c r="AA258" s="59"/>
      <c r="AB258" s="59"/>
      <c r="AC258" s="59"/>
      <c r="AD258" s="58"/>
    </row>
    <row r="259" spans="2:34" s="44" customFormat="1" x14ac:dyDescent="0.25" hidden="true">
      <c r="B259" s="59"/>
      <c r="C259" s="59"/>
      <c r="D259" s="59"/>
      <c r="E259" s="59"/>
      <c r="F259" s="59"/>
      <c r="G259" s="59"/>
      <c r="H259" s="59"/>
      <c r="I259" s="59"/>
      <c r="J259" s="59"/>
      <c r="K259" s="59"/>
      <c r="L259" s="59"/>
      <c r="M259" s="59"/>
      <c r="N259" s="59"/>
      <c r="O259" s="59"/>
      <c r="P259" s="59"/>
      <c r="Q259" s="59"/>
      <c r="R259" s="59"/>
      <c r="S259" s="59"/>
      <c r="T259" s="59"/>
      <c r="U259" s="59"/>
      <c r="V259" s="59"/>
      <c r="W259" s="59"/>
      <c r="X259" s="59"/>
      <c r="Y259" s="59"/>
      <c r="Z259" s="59"/>
      <c r="AA259" s="59"/>
      <c r="AB259" s="59"/>
      <c r="AC259" s="59"/>
      <c r="AD259" s="58"/>
    </row>
    <row r="260" spans="2:34" s="44" customFormat="1" x14ac:dyDescent="0.25" hidden="true">
      <c r="B260" s="59"/>
      <c r="C260" s="59"/>
      <c r="D260" s="59"/>
      <c r="E260" s="59"/>
      <c r="F260" s="59"/>
      <c r="G260" s="59"/>
      <c r="H260" s="59"/>
      <c r="I260" s="59"/>
      <c r="J260" s="59"/>
      <c r="K260" s="59"/>
      <c r="L260" s="59"/>
      <c r="M260" s="59"/>
      <c r="N260" s="59"/>
      <c r="O260" s="59"/>
      <c r="P260" s="59"/>
      <c r="Q260" s="59"/>
      <c r="R260" s="59"/>
      <c r="S260" s="59"/>
      <c r="T260" s="59"/>
      <c r="U260" s="59"/>
      <c r="V260" s="59"/>
      <c r="W260" s="59"/>
      <c r="X260" s="59"/>
      <c r="Y260" s="59"/>
      <c r="Z260" s="59"/>
      <c r="AA260" s="59"/>
      <c r="AB260" s="59"/>
      <c r="AC260" s="59"/>
      <c r="AD260" s="58"/>
    </row>
    <row r="261" spans="2:34" s="44" customFormat="1" x14ac:dyDescent="0.25" hidden="true">
      <c r="B261" s="59"/>
      <c r="C261" s="59"/>
      <c r="D261" s="59"/>
      <c r="E261" s="59"/>
      <c r="F261" s="59"/>
      <c r="G261" s="59"/>
      <c r="H261" s="59"/>
      <c r="I261" s="59"/>
      <c r="J261" s="59"/>
      <c r="K261" s="59"/>
      <c r="L261" s="59"/>
      <c r="M261" s="59"/>
      <c r="N261" s="59"/>
      <c r="O261" s="59"/>
      <c r="P261" s="59"/>
      <c r="Q261" s="59"/>
      <c r="R261" s="59"/>
      <c r="S261" s="59"/>
      <c r="T261" s="59"/>
      <c r="U261" s="59"/>
      <c r="V261" s="59"/>
      <c r="W261" s="59"/>
      <c r="X261" s="59"/>
      <c r="Y261" s="59"/>
      <c r="Z261" s="59"/>
      <c r="AA261" s="59"/>
      <c r="AB261" s="59"/>
      <c r="AC261" s="59"/>
      <c r="AD261" s="58"/>
    </row>
    <row r="262" spans="2:34" s="1" customFormat="1" x14ac:dyDescent="0.25" hidden="true">
      <c r="B262" s="85" t="s">
        <v>223</v>
      </c>
      <c r="C262" s="85"/>
      <c r="D262" s="85"/>
      <c r="E262" s="85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  <c r="S262" s="86"/>
      <c r="T262" s="85" t="s">
        <v>41</v>
      </c>
      <c r="U262" s="85"/>
      <c r="V262" s="85"/>
      <c r="W262" s="85"/>
      <c r="X262" s="85"/>
      <c r="Y262" s="85"/>
      <c r="Z262" s="85"/>
      <c r="AA262" s="85"/>
      <c r="AB262" s="85"/>
      <c r="AC262" s="86"/>
      <c r="AD262" s="86"/>
    </row>
    <row r="263" spans="2:34" s="1" customFormat="1" ht="15" customHeight="1" x14ac:dyDescent="0.25" hidden="true">
      <c r="B263" s="83"/>
      <c r="C263" s="83"/>
      <c r="D263" s="83"/>
      <c r="E263" s="83"/>
      <c r="F263" s="83"/>
      <c r="G263" s="83"/>
      <c r="H263" s="83"/>
      <c r="I263" s="83"/>
      <c r="J263" s="83"/>
      <c r="K263" s="83"/>
      <c r="L263" s="83"/>
      <c r="M263" s="83"/>
      <c r="N263" s="83"/>
      <c r="O263" s="83"/>
      <c r="P263" s="83"/>
      <c r="Q263" s="83"/>
      <c r="R263" s="83"/>
      <c r="S263" s="83"/>
      <c r="T263" s="83"/>
      <c r="U263" s="83"/>
      <c r="V263" s="83"/>
      <c r="W263" s="83"/>
      <c r="X263" s="83"/>
      <c r="Y263" s="83"/>
      <c r="Z263" s="83"/>
      <c r="AA263" s="83"/>
      <c r="AB263" s="83"/>
      <c r="AC263" s="83"/>
      <c r="AD263" s="83"/>
      <c r="AG263" s="1" t="str">
        <f>SUBSTITUTE(AH263,",","; ")</f>
        <v/>
      </c>
      <c r="AH263" s="1"/>
    </row>
    <row r="264" spans="2:34" s="1" customFormat="1" x14ac:dyDescent="0.25" hidden="true">
      <c r="B264" s="83"/>
      <c r="C264" s="83"/>
      <c r="D264" s="83"/>
      <c r="E264" s="83"/>
      <c r="F264" s="83"/>
      <c r="G264" s="83"/>
      <c r="H264" s="83"/>
      <c r="I264" s="83"/>
      <c r="J264" s="83"/>
      <c r="K264" s="83"/>
      <c r="L264" s="83"/>
      <c r="M264" s="83"/>
      <c r="N264" s="83"/>
      <c r="O264" s="83"/>
      <c r="P264" s="83"/>
      <c r="Q264" s="83"/>
      <c r="R264" s="83"/>
      <c r="S264" s="83"/>
      <c r="T264" s="83"/>
      <c r="U264" s="83"/>
      <c r="V264" s="83"/>
      <c r="W264" s="83"/>
      <c r="X264" s="83"/>
      <c r="Y264" s="83"/>
      <c r="Z264" s="83"/>
      <c r="AA264" s="83"/>
      <c r="AB264" s="83"/>
      <c r="AC264" s="83"/>
      <c r="AD264" s="83"/>
      <c r="AG264" s="1" t="str">
        <f t="shared" ref="AG264:AG272" si="5">SUBSTITUTE(AH264,",","; ")</f>
        <v/>
      </c>
      <c r="AH264" s="1"/>
    </row>
    <row r="265" spans="2:34" s="1" customFormat="1" ht="7.5" customHeight="1" x14ac:dyDescent="0.25" hidden="true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V265" s="2"/>
      <c r="W265" s="2"/>
      <c r="X265" s="2"/>
      <c r="Y265" s="2"/>
      <c r="Z265" s="2"/>
      <c r="AA265" s="2"/>
      <c r="AB265" s="2"/>
      <c r="AC265" s="2"/>
      <c r="AG265" s="1" t="str">
        <f t="shared" si="5"/>
        <v/>
      </c>
    </row>
    <row r="266" spans="2:34" s="1" customFormat="1" x14ac:dyDescent="0.25" hidden="true">
      <c r="B266" s="80"/>
      <c r="C266" s="81"/>
      <c r="D266" s="81"/>
      <c r="E266" s="81"/>
      <c r="F266" s="81"/>
      <c r="G266" s="81"/>
      <c r="H266" s="81"/>
      <c r="I266" s="81"/>
      <c r="J266" s="81"/>
      <c r="K266" s="82"/>
      <c r="L266" s="80"/>
      <c r="M266" s="81"/>
      <c r="N266" s="81"/>
      <c r="O266" s="81"/>
      <c r="P266" s="81"/>
      <c r="Q266" s="81"/>
      <c r="R266" s="81"/>
      <c r="S266" s="81"/>
      <c r="T266" s="81"/>
      <c r="U266" s="82"/>
      <c r="V266" s="80"/>
      <c r="W266" s="81"/>
      <c r="X266" s="81"/>
      <c r="Y266" s="81"/>
      <c r="Z266" s="81"/>
      <c r="AA266" s="81"/>
      <c r="AB266" s="81"/>
      <c r="AC266" s="81"/>
      <c r="AD266" s="82"/>
      <c r="AG266" s="1" t="str">
        <f t="shared" si="5"/>
        <v/>
      </c>
      <c r="AH266" s="1"/>
    </row>
    <row r="267" spans="2:34" s="1" customFormat="1" x14ac:dyDescent="0.25" hidden="true">
      <c r="B267" s="72" t="s">
        <v>42</v>
      </c>
      <c r="C267" s="73"/>
      <c r="D267" s="73"/>
      <c r="E267" s="73"/>
      <c r="F267" s="73"/>
      <c r="G267" s="73"/>
      <c r="H267" s="73"/>
      <c r="I267" s="74"/>
      <c r="J267" s="74"/>
      <c r="K267" s="32"/>
      <c r="L267" s="72" t="s">
        <v>42</v>
      </c>
      <c r="M267" s="73"/>
      <c r="N267" s="73"/>
      <c r="O267" s="73"/>
      <c r="P267" s="73"/>
      <c r="Q267" s="73"/>
      <c r="R267" s="73"/>
      <c r="S267" s="74"/>
      <c r="T267" s="74"/>
      <c r="U267" s="31"/>
      <c r="V267" s="30" t="s">
        <v>42</v>
      </c>
      <c r="W267" s="30"/>
      <c r="X267" s="30"/>
      <c r="Y267" s="30"/>
      <c r="Z267" s="30"/>
      <c r="AA267" s="30"/>
      <c r="AB267" s="55"/>
      <c r="AC267" s="74"/>
      <c r="AD267" s="84"/>
      <c r="AG267" s="1" t="str">
        <f t="shared" si="5"/>
        <v/>
      </c>
      <c r="AH267" s="1"/>
    </row>
    <row r="268" spans="2:34" s="1" customFormat="1" ht="15" customHeight="1" x14ac:dyDescent="0.25" hidden="true">
      <c r="B268" s="77" t="s">
        <v>43</v>
      </c>
      <c r="C268" s="78"/>
      <c r="D268" s="78"/>
      <c r="E268" s="78"/>
      <c r="F268" s="78"/>
      <c r="G268" s="78"/>
      <c r="H268" s="78"/>
      <c r="I268" s="78"/>
      <c r="J268" s="78"/>
      <c r="K268" s="79"/>
      <c r="L268" s="77" t="s">
        <v>43</v>
      </c>
      <c r="M268" s="78"/>
      <c r="N268" s="78"/>
      <c r="O268" s="78"/>
      <c r="P268" s="78"/>
      <c r="Q268" s="78"/>
      <c r="R268" s="78"/>
      <c r="S268" s="78"/>
      <c r="T268" s="78"/>
      <c r="U268" s="79"/>
      <c r="V268" s="77" t="s">
        <v>43</v>
      </c>
      <c r="W268" s="78"/>
      <c r="X268" s="78"/>
      <c r="Y268" s="78"/>
      <c r="Z268" s="78"/>
      <c r="AA268" s="78"/>
      <c r="AB268" s="78"/>
      <c r="AC268" s="78"/>
      <c r="AD268" s="79"/>
      <c r="AG268" s="1" t="str">
        <f t="shared" si="5"/>
        <v/>
      </c>
      <c r="AH268" s="1"/>
    </row>
    <row r="269" spans="2:34" s="1" customFormat="1" ht="15" customHeight="1" x14ac:dyDescent="0.25" hidden="true">
      <c r="B269" s="66" t="str">
        <f>AG263</f>
        <v/>
      </c>
      <c r="C269" s="67"/>
      <c r="D269" s="67"/>
      <c r="E269" s="67"/>
      <c r="F269" s="67"/>
      <c r="G269" s="67"/>
      <c r="H269" s="67"/>
      <c r="I269" s="67"/>
      <c r="J269" s="67"/>
      <c r="K269" s="68"/>
      <c r="L269" s="66" t="str">
        <f>AG264</f>
        <v/>
      </c>
      <c r="M269" s="67"/>
      <c r="N269" s="67"/>
      <c r="O269" s="67"/>
      <c r="P269" s="67"/>
      <c r="Q269" s="67"/>
      <c r="R269" s="67"/>
      <c r="S269" s="67"/>
      <c r="T269" s="67"/>
      <c r="U269" s="68"/>
      <c r="V269" s="66" t="str">
        <f>AG266</f>
        <v/>
      </c>
      <c r="W269" s="67"/>
      <c r="X269" s="67"/>
      <c r="Y269" s="67"/>
      <c r="Z269" s="67"/>
      <c r="AA269" s="67"/>
      <c r="AB269" s="67"/>
      <c r="AC269" s="67"/>
      <c r="AD269" s="68"/>
      <c r="AG269" s="1" t="str">
        <f t="shared" si="5"/>
        <v/>
      </c>
      <c r="AH269" s="1"/>
    </row>
    <row r="270" spans="2:34" s="1" customFormat="1" x14ac:dyDescent="0.25" hidden="true">
      <c r="B270" s="66"/>
      <c r="C270" s="67"/>
      <c r="D270" s="67"/>
      <c r="E270" s="67"/>
      <c r="F270" s="67"/>
      <c r="G270" s="67"/>
      <c r="H270" s="67"/>
      <c r="I270" s="67"/>
      <c r="J270" s="67"/>
      <c r="K270" s="68"/>
      <c r="L270" s="66"/>
      <c r="M270" s="67"/>
      <c r="N270" s="67"/>
      <c r="O270" s="67"/>
      <c r="P270" s="67"/>
      <c r="Q270" s="67"/>
      <c r="R270" s="67"/>
      <c r="S270" s="67"/>
      <c r="T270" s="67"/>
      <c r="U270" s="68"/>
      <c r="V270" s="66"/>
      <c r="W270" s="67"/>
      <c r="X270" s="67"/>
      <c r="Y270" s="67"/>
      <c r="Z270" s="67"/>
      <c r="AA270" s="67"/>
      <c r="AB270" s="67"/>
      <c r="AC270" s="67"/>
      <c r="AD270" s="68"/>
      <c r="AG270" s="1" t="str">
        <f t="shared" si="5"/>
        <v/>
      </c>
      <c r="AH270" s="1"/>
    </row>
    <row r="271" spans="2:34" s="1" customFormat="1" x14ac:dyDescent="0.25" hidden="true">
      <c r="B271" s="66"/>
      <c r="C271" s="67"/>
      <c r="D271" s="67"/>
      <c r="E271" s="67"/>
      <c r="F271" s="67"/>
      <c r="G271" s="67"/>
      <c r="H271" s="67"/>
      <c r="I271" s="67"/>
      <c r="J271" s="67"/>
      <c r="K271" s="68"/>
      <c r="L271" s="66"/>
      <c r="M271" s="67"/>
      <c r="N271" s="67"/>
      <c r="O271" s="67"/>
      <c r="P271" s="67"/>
      <c r="Q271" s="67"/>
      <c r="R271" s="67"/>
      <c r="S271" s="67"/>
      <c r="T271" s="67"/>
      <c r="U271" s="68"/>
      <c r="V271" s="66"/>
      <c r="W271" s="67"/>
      <c r="X271" s="67"/>
      <c r="Y271" s="67"/>
      <c r="Z271" s="67"/>
      <c r="AA271" s="67"/>
      <c r="AB271" s="67"/>
      <c r="AC271" s="67"/>
      <c r="AD271" s="68"/>
      <c r="AG271" s="1" t="str">
        <f t="shared" si="5"/>
        <v/>
      </c>
      <c r="AH271" s="57"/>
    </row>
    <row r="272" spans="2:34" s="1" customFormat="1" x14ac:dyDescent="0.25" hidden="true">
      <c r="B272" s="66"/>
      <c r="C272" s="67"/>
      <c r="D272" s="67"/>
      <c r="E272" s="67"/>
      <c r="F272" s="67"/>
      <c r="G272" s="67"/>
      <c r="H272" s="67"/>
      <c r="I272" s="67"/>
      <c r="J272" s="67"/>
      <c r="K272" s="68"/>
      <c r="L272" s="66"/>
      <c r="M272" s="67"/>
      <c r="N272" s="67"/>
      <c r="O272" s="67"/>
      <c r="P272" s="67"/>
      <c r="Q272" s="67"/>
      <c r="R272" s="67"/>
      <c r="S272" s="67"/>
      <c r="T272" s="67"/>
      <c r="U272" s="68"/>
      <c r="V272" s="66"/>
      <c r="W272" s="67"/>
      <c r="X272" s="67"/>
      <c r="Y272" s="67"/>
      <c r="Z272" s="67"/>
      <c r="AA272" s="67"/>
      <c r="AB272" s="67"/>
      <c r="AC272" s="67"/>
      <c r="AD272" s="68"/>
      <c r="AG272" s="1" t="str">
        <f t="shared" si="5"/>
        <v/>
      </c>
      <c r="AH272" s="57"/>
    </row>
    <row r="273" spans="2:30" s="1" customFormat="1" ht="6.95" customHeight="1" x14ac:dyDescent="0.25" hidden="true">
      <c r="B273" s="69"/>
      <c r="C273" s="70"/>
      <c r="D273" s="70"/>
      <c r="E273" s="70"/>
      <c r="F273" s="70"/>
      <c r="G273" s="70"/>
      <c r="H273" s="70"/>
      <c r="I273" s="70"/>
      <c r="J273" s="70"/>
      <c r="K273" s="71"/>
      <c r="L273" s="69"/>
      <c r="M273" s="70"/>
      <c r="N273" s="70"/>
      <c r="O273" s="70"/>
      <c r="P273" s="70"/>
      <c r="Q273" s="70"/>
      <c r="R273" s="70"/>
      <c r="S273" s="70"/>
      <c r="T273" s="70"/>
      <c r="U273" s="71"/>
      <c r="V273" s="69"/>
      <c r="W273" s="70"/>
      <c r="X273" s="70"/>
      <c r="Y273" s="70"/>
      <c r="Z273" s="70"/>
      <c r="AA273" s="70"/>
      <c r="AB273" s="70"/>
      <c r="AC273" s="70"/>
      <c r="AD273" s="71"/>
    </row>
    <row r="274" spans="2:30" s="1" customFormat="1" x14ac:dyDescent="0.25" hidden="true">
      <c r="B274" s="80"/>
      <c r="C274" s="81"/>
      <c r="D274" s="81"/>
      <c r="E274" s="81"/>
      <c r="F274" s="81"/>
      <c r="G274" s="81"/>
      <c r="H274" s="81"/>
      <c r="I274" s="81"/>
      <c r="J274" s="81"/>
      <c r="K274" s="82"/>
      <c r="L274" s="80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  <c r="AA274" s="81"/>
      <c r="AB274" s="81"/>
      <c r="AC274" s="81"/>
      <c r="AD274" s="82"/>
    </row>
    <row r="275" spans="2:30" s="1" customFormat="1" x14ac:dyDescent="0.25" hidden="true">
      <c r="B275" s="72" t="s">
        <v>42</v>
      </c>
      <c r="C275" s="73"/>
      <c r="D275" s="73"/>
      <c r="E275" s="73"/>
      <c r="F275" s="73"/>
      <c r="G275" s="73"/>
      <c r="H275" s="73"/>
      <c r="I275" s="74"/>
      <c r="J275" s="74"/>
      <c r="K275" s="32"/>
      <c r="L275" s="72" t="s">
        <v>42</v>
      </c>
      <c r="M275" s="73"/>
      <c r="N275" s="73"/>
      <c r="O275" s="73"/>
      <c r="P275" s="73"/>
      <c r="Q275" s="73"/>
      <c r="R275" s="73"/>
      <c r="S275" s="74"/>
      <c r="T275" s="74"/>
      <c r="U275" s="28"/>
      <c r="V275" s="35"/>
      <c r="W275" s="35"/>
      <c r="X275" s="35"/>
      <c r="Y275" s="35"/>
      <c r="Z275" s="35"/>
      <c r="AA275" s="35"/>
      <c r="AB275" s="35"/>
      <c r="AC275" s="75"/>
      <c r="AD275" s="76"/>
    </row>
    <row r="276" spans="2:30" s="1" customFormat="1" ht="15" customHeight="1" x14ac:dyDescent="0.25" hidden="true">
      <c r="B276" s="77" t="s">
        <v>43</v>
      </c>
      <c r="C276" s="78"/>
      <c r="D276" s="78"/>
      <c r="E276" s="78"/>
      <c r="F276" s="78"/>
      <c r="G276" s="78"/>
      <c r="H276" s="78"/>
      <c r="I276" s="78"/>
      <c r="J276" s="78"/>
      <c r="K276" s="79"/>
      <c r="L276" s="77" t="s">
        <v>43</v>
      </c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  <c r="AA276" s="78"/>
      <c r="AB276" s="78"/>
      <c r="AC276" s="78"/>
      <c r="AD276" s="79"/>
    </row>
    <row r="277" spans="2:30" s="1" customFormat="1" ht="15" customHeight="1" x14ac:dyDescent="0.25" hidden="true">
      <c r="B277" s="66" t="str">
        <f>AG267</f>
        <v/>
      </c>
      <c r="C277" s="67"/>
      <c r="D277" s="67"/>
      <c r="E277" s="67"/>
      <c r="F277" s="67"/>
      <c r="G277" s="67"/>
      <c r="H277" s="67"/>
      <c r="I277" s="67"/>
      <c r="J277" s="67"/>
      <c r="K277" s="68"/>
      <c r="L277" s="66" t="str">
        <f>AG268</f>
        <v/>
      </c>
      <c r="M277" s="67"/>
      <c r="N277" s="67"/>
      <c r="O277" s="67"/>
      <c r="P277" s="67"/>
      <c r="Q277" s="67"/>
      <c r="R277" s="67"/>
      <c r="S277" s="67"/>
      <c r="T277" s="67"/>
      <c r="U277" s="67"/>
      <c r="V277" s="67"/>
      <c r="W277" s="67"/>
      <c r="X277" s="67"/>
      <c r="Y277" s="67"/>
      <c r="Z277" s="67"/>
      <c r="AA277" s="67"/>
      <c r="AB277" s="67"/>
      <c r="AC277" s="67"/>
      <c r="AD277" s="68"/>
    </row>
    <row r="278" spans="2:30" s="1" customFormat="1" x14ac:dyDescent="0.25" hidden="true">
      <c r="B278" s="66"/>
      <c r="C278" s="67"/>
      <c r="D278" s="67"/>
      <c r="E278" s="67"/>
      <c r="F278" s="67"/>
      <c r="G278" s="67"/>
      <c r="H278" s="67"/>
      <c r="I278" s="67"/>
      <c r="J278" s="67"/>
      <c r="K278" s="68"/>
      <c r="L278" s="66"/>
      <c r="M278" s="67"/>
      <c r="N278" s="67"/>
      <c r="O278" s="67"/>
      <c r="P278" s="67"/>
      <c r="Q278" s="67"/>
      <c r="R278" s="67"/>
      <c r="S278" s="67"/>
      <c r="T278" s="67"/>
      <c r="U278" s="67"/>
      <c r="V278" s="67"/>
      <c r="W278" s="67"/>
      <c r="X278" s="67"/>
      <c r="Y278" s="67"/>
      <c r="Z278" s="67"/>
      <c r="AA278" s="67"/>
      <c r="AB278" s="67"/>
      <c r="AC278" s="67"/>
      <c r="AD278" s="68"/>
    </row>
    <row r="279" spans="2:30" s="1" customFormat="1" x14ac:dyDescent="0.25" hidden="true">
      <c r="B279" s="66"/>
      <c r="C279" s="67"/>
      <c r="D279" s="67"/>
      <c r="E279" s="67"/>
      <c r="F279" s="67"/>
      <c r="G279" s="67"/>
      <c r="H279" s="67"/>
      <c r="I279" s="67"/>
      <c r="J279" s="67"/>
      <c r="K279" s="68"/>
      <c r="L279" s="66"/>
      <c r="M279" s="67"/>
      <c r="N279" s="67"/>
      <c r="O279" s="67"/>
      <c r="P279" s="67"/>
      <c r="Q279" s="67"/>
      <c r="R279" s="67"/>
      <c r="S279" s="67"/>
      <c r="T279" s="67"/>
      <c r="U279" s="67"/>
      <c r="V279" s="67"/>
      <c r="W279" s="67"/>
      <c r="X279" s="67"/>
      <c r="Y279" s="67"/>
      <c r="Z279" s="67"/>
      <c r="AA279" s="67"/>
      <c r="AB279" s="67"/>
      <c r="AC279" s="67"/>
      <c r="AD279" s="68"/>
    </row>
    <row r="280" spans="2:30" s="1" customFormat="1" x14ac:dyDescent="0.25" hidden="true">
      <c r="B280" s="66"/>
      <c r="C280" s="67"/>
      <c r="D280" s="67"/>
      <c r="E280" s="67"/>
      <c r="F280" s="67"/>
      <c r="G280" s="67"/>
      <c r="H280" s="67"/>
      <c r="I280" s="67"/>
      <c r="J280" s="67"/>
      <c r="K280" s="68"/>
      <c r="L280" s="66"/>
      <c r="M280" s="67"/>
      <c r="N280" s="67"/>
      <c r="O280" s="67"/>
      <c r="P280" s="67"/>
      <c r="Q280" s="67"/>
      <c r="R280" s="67"/>
      <c r="S280" s="67"/>
      <c r="T280" s="67"/>
      <c r="U280" s="67"/>
      <c r="V280" s="67"/>
      <c r="W280" s="67"/>
      <c r="X280" s="67"/>
      <c r="Y280" s="67"/>
      <c r="Z280" s="67"/>
      <c r="AA280" s="67"/>
      <c r="AB280" s="67"/>
      <c r="AC280" s="67"/>
      <c r="AD280" s="68"/>
    </row>
    <row r="281" spans="2:30" s="1" customFormat="1" ht="6.95" customHeight="1" x14ac:dyDescent="0.25" hidden="true">
      <c r="B281" s="69"/>
      <c r="C281" s="70"/>
      <c r="D281" s="70"/>
      <c r="E281" s="70"/>
      <c r="F281" s="70"/>
      <c r="G281" s="70"/>
      <c r="H281" s="70"/>
      <c r="I281" s="70"/>
      <c r="J281" s="70"/>
      <c r="K281" s="71"/>
      <c r="L281" s="69"/>
      <c r="M281" s="70"/>
      <c r="N281" s="70"/>
      <c r="O281" s="70"/>
      <c r="P281" s="70"/>
      <c r="Q281" s="70"/>
      <c r="R281" s="70"/>
      <c r="S281" s="70"/>
      <c r="T281" s="70"/>
      <c r="U281" s="70"/>
      <c r="V281" s="70"/>
      <c r="W281" s="70"/>
      <c r="X281" s="70"/>
      <c r="Y281" s="70"/>
      <c r="Z281" s="70"/>
      <c r="AA281" s="70"/>
      <c r="AB281" s="70"/>
      <c r="AC281" s="70"/>
      <c r="AD281" s="71"/>
    </row>
    <row r="282" spans="2:30" s="1" customFormat="1" x14ac:dyDescent="0.25" hidden="true">
      <c r="B282" s="60" t="s">
        <v>44</v>
      </c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2"/>
      <c r="P282" s="60" t="s">
        <v>45</v>
      </c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2"/>
    </row>
    <row r="283" spans="2:30" s="1" customFormat="1" ht="15" customHeight="1" x14ac:dyDescent="0.25" hidden="true">
      <c r="B283" s="63" t="str">
        <f>AG269</f>
        <v/>
      </c>
      <c r="C283" s="64"/>
      <c r="D283" s="64"/>
      <c r="E283" s="64"/>
      <c r="F283" s="64"/>
      <c r="G283" s="64"/>
      <c r="H283" s="64"/>
      <c r="I283" s="64"/>
      <c r="J283" s="64"/>
      <c r="K283" s="64"/>
      <c r="L283" s="64"/>
      <c r="M283" s="64"/>
      <c r="N283" s="64"/>
      <c r="O283" s="65"/>
      <c r="P283" s="63" t="str">
        <f>AG270</f>
        <v/>
      </c>
      <c r="Q283" s="64"/>
      <c r="R283" s="64"/>
      <c r="S283" s="64"/>
      <c r="T283" s="64"/>
      <c r="U283" s="64"/>
      <c r="V283" s="64"/>
      <c r="W283" s="64"/>
      <c r="X283" s="64"/>
      <c r="Y283" s="64"/>
      <c r="Z283" s="64"/>
      <c r="AA283" s="64"/>
      <c r="AB283" s="64"/>
      <c r="AC283" s="64"/>
      <c r="AD283" s="65"/>
    </row>
    <row r="284" spans="2:30" s="1" customFormat="1" ht="15" customHeight="1" x14ac:dyDescent="0.25" hidden="true">
      <c r="B284" s="66"/>
      <c r="C284" s="67"/>
      <c r="D284" s="67"/>
      <c r="E284" s="67"/>
      <c r="F284" s="67"/>
      <c r="G284" s="67"/>
      <c r="H284" s="67"/>
      <c r="I284" s="67"/>
      <c r="J284" s="67"/>
      <c r="K284" s="67"/>
      <c r="L284" s="67"/>
      <c r="M284" s="67"/>
      <c r="N284" s="67"/>
      <c r="O284" s="68"/>
      <c r="P284" s="66"/>
      <c r="Q284" s="67"/>
      <c r="R284" s="67"/>
      <c r="S284" s="67"/>
      <c r="T284" s="67"/>
      <c r="U284" s="67"/>
      <c r="V284" s="67"/>
      <c r="W284" s="67"/>
      <c r="X284" s="67"/>
      <c r="Y284" s="67"/>
      <c r="Z284" s="67"/>
      <c r="AA284" s="67"/>
      <c r="AB284" s="67"/>
      <c r="AC284" s="67"/>
      <c r="AD284" s="68"/>
    </row>
    <row r="285" spans="2:30" s="1" customFormat="1" x14ac:dyDescent="0.25" hidden="true">
      <c r="B285" s="66"/>
      <c r="C285" s="67"/>
      <c r="D285" s="67"/>
      <c r="E285" s="67"/>
      <c r="F285" s="67"/>
      <c r="G285" s="67"/>
      <c r="H285" s="67"/>
      <c r="I285" s="67"/>
      <c r="J285" s="67"/>
      <c r="K285" s="67"/>
      <c r="L285" s="67"/>
      <c r="M285" s="67"/>
      <c r="N285" s="67"/>
      <c r="O285" s="68"/>
      <c r="P285" s="66"/>
      <c r="Q285" s="67"/>
      <c r="R285" s="67"/>
      <c r="S285" s="67"/>
      <c r="T285" s="67"/>
      <c r="U285" s="67"/>
      <c r="V285" s="67"/>
      <c r="W285" s="67"/>
      <c r="X285" s="67"/>
      <c r="Y285" s="67"/>
      <c r="Z285" s="67"/>
      <c r="AA285" s="67"/>
      <c r="AB285" s="67"/>
      <c r="AC285" s="67"/>
      <c r="AD285" s="68"/>
    </row>
    <row r="286" spans="2:30" s="1" customFormat="1" x14ac:dyDescent="0.25" hidden="true">
      <c r="B286" s="69"/>
      <c r="C286" s="70"/>
      <c r="D286" s="70"/>
      <c r="E286" s="70"/>
      <c r="F286" s="70"/>
      <c r="G286" s="70"/>
      <c r="H286" s="70"/>
      <c r="I286" s="70"/>
      <c r="J286" s="70"/>
      <c r="K286" s="70"/>
      <c r="L286" s="70"/>
      <c r="M286" s="70"/>
      <c r="N286" s="70"/>
      <c r="O286" s="71"/>
      <c r="P286" s="69"/>
      <c r="Q286" s="70"/>
      <c r="R286" s="70"/>
      <c r="S286" s="70"/>
      <c r="T286" s="70"/>
      <c r="U286" s="70"/>
      <c r="V286" s="70"/>
      <c r="W286" s="70"/>
      <c r="X286" s="70"/>
      <c r="Y286" s="70"/>
      <c r="Z286" s="70"/>
      <c r="AA286" s="70"/>
      <c r="AB286" s="70"/>
      <c r="AC286" s="70"/>
      <c r="AD286" s="71"/>
    </row>
    <row r="287" spans="2:30" s="1" customFormat="1" x14ac:dyDescent="0.25" hidden="true">
      <c r="B287" s="60" t="s">
        <v>46</v>
      </c>
      <c r="C287" s="61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2"/>
      <c r="P287" s="60" t="s">
        <v>47</v>
      </c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2"/>
    </row>
    <row r="288" spans="2:30" s="1" customFormat="1" ht="15" customHeight="1" x14ac:dyDescent="0.25" hidden="true">
      <c r="B288" s="63" t="str">
        <f>AG271</f>
        <v/>
      </c>
      <c r="C288" s="64"/>
      <c r="D288" s="64"/>
      <c r="E288" s="64"/>
      <c r="F288" s="64"/>
      <c r="G288" s="64"/>
      <c r="H288" s="64"/>
      <c r="I288" s="64"/>
      <c r="J288" s="64"/>
      <c r="K288" s="64"/>
      <c r="L288" s="64"/>
      <c r="M288" s="64"/>
      <c r="N288" s="64"/>
      <c r="O288" s="65"/>
      <c r="P288" s="63" t="str">
        <f>AG272</f>
        <v/>
      </c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/>
      <c r="AD288" s="65"/>
    </row>
    <row r="289" spans="2:33" s="1" customFormat="1" ht="15" customHeight="1" x14ac:dyDescent="0.25" hidden="true">
      <c r="B289" s="66"/>
      <c r="C289" s="67"/>
      <c r="D289" s="67"/>
      <c r="E289" s="67"/>
      <c r="F289" s="67"/>
      <c r="G289" s="67"/>
      <c r="H289" s="67"/>
      <c r="I289" s="67"/>
      <c r="J289" s="67"/>
      <c r="K289" s="67"/>
      <c r="L289" s="67"/>
      <c r="M289" s="67"/>
      <c r="N289" s="67"/>
      <c r="O289" s="68"/>
      <c r="P289" s="66"/>
      <c r="Q289" s="67"/>
      <c r="R289" s="67"/>
      <c r="S289" s="67"/>
      <c r="T289" s="67"/>
      <c r="U289" s="67"/>
      <c r="V289" s="67"/>
      <c r="W289" s="67"/>
      <c r="X289" s="67"/>
      <c r="Y289" s="67"/>
      <c r="Z289" s="67"/>
      <c r="AA289" s="67"/>
      <c r="AB289" s="67"/>
      <c r="AC289" s="67"/>
      <c r="AD289" s="68"/>
    </row>
    <row r="290" spans="2:33" s="1" customFormat="1" x14ac:dyDescent="0.25" hidden="true">
      <c r="B290" s="69"/>
      <c r="C290" s="70"/>
      <c r="D290" s="70"/>
      <c r="E290" s="70"/>
      <c r="F290" s="70"/>
      <c r="G290" s="70"/>
      <c r="H290" s="70"/>
      <c r="I290" s="70"/>
      <c r="J290" s="70"/>
      <c r="K290" s="70"/>
      <c r="L290" s="70"/>
      <c r="M290" s="70"/>
      <c r="N290" s="70"/>
      <c r="O290" s="71"/>
      <c r="P290" s="69"/>
      <c r="Q290" s="70"/>
      <c r="R290" s="70"/>
      <c r="S290" s="70"/>
      <c r="T290" s="70"/>
      <c r="U290" s="70"/>
      <c r="V290" s="70"/>
      <c r="W290" s="70"/>
      <c r="X290" s="70"/>
      <c r="Y290" s="70"/>
      <c r="Z290" s="70"/>
      <c r="AA290" s="70"/>
      <c r="AB290" s="70"/>
      <c r="AC290" s="70"/>
      <c r="AD290" s="71"/>
      <c r="AF290"/>
      <c r="AG290"/>
    </row>
    <row r="291" spans="2:33" s="1" customFormat="1" ht="6.95" customHeight="1" x14ac:dyDescent="0.25" hidden="true"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F291"/>
    </row>
    <row r="292" spans="2:33" s="56" customFormat="1" x14ac:dyDescent="0.25" hidden="true">
      <c r="B292" s="59" t="s">
        <v>577</v>
      </c>
      <c r="C292" s="59"/>
      <c r="D292" s="59"/>
      <c r="E292" s="59"/>
      <c r="F292" s="59"/>
      <c r="G292" s="59"/>
      <c r="H292" s="59"/>
      <c r="I292" s="59" t="s">
        <v>577</v>
      </c>
      <c r="J292" s="59"/>
      <c r="K292" s="59"/>
      <c r="L292" s="59"/>
      <c r="M292" s="59"/>
      <c r="N292" s="59"/>
      <c r="O292" s="59"/>
      <c r="P292" s="59" t="s">
        <v>577</v>
      </c>
      <c r="Q292" s="59"/>
      <c r="R292" s="59"/>
      <c r="S292" s="59"/>
      <c r="T292" s="59"/>
      <c r="U292" s="59"/>
      <c r="V292" s="59"/>
      <c r="W292" s="59" t="s">
        <v>577</v>
      </c>
      <c r="X292" s="59"/>
      <c r="Y292" s="59"/>
      <c r="Z292" s="59"/>
      <c r="AA292" s="59"/>
      <c r="AB292" s="59"/>
      <c r="AC292" s="59"/>
      <c r="AD292" s="58"/>
    </row>
    <row r="293" spans="2:33" s="56" customFormat="1" x14ac:dyDescent="0.25" hidden="true">
      <c r="B293" s="59"/>
      <c r="C293" s="59"/>
      <c r="D293" s="59"/>
      <c r="E293" s="59"/>
      <c r="F293" s="59"/>
      <c r="G293" s="59"/>
      <c r="H293" s="59"/>
      <c r="I293" s="59"/>
      <c r="J293" s="59"/>
      <c r="K293" s="59"/>
      <c r="L293" s="59"/>
      <c r="M293" s="59"/>
      <c r="N293" s="59"/>
      <c r="O293" s="59"/>
      <c r="P293" s="59"/>
      <c r="Q293" s="59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58"/>
    </row>
    <row r="294" spans="2:33" s="56" customFormat="1" x14ac:dyDescent="0.25" hidden="true">
      <c r="B294" s="59"/>
      <c r="C294" s="59"/>
      <c r="D294" s="59"/>
      <c r="E294" s="59"/>
      <c r="F294" s="59"/>
      <c r="G294" s="59"/>
      <c r="H294" s="59"/>
      <c r="I294" s="59"/>
      <c r="J294" s="59"/>
      <c r="K294" s="59"/>
      <c r="L294" s="59"/>
      <c r="M294" s="59"/>
      <c r="N294" s="59"/>
      <c r="O294" s="59"/>
      <c r="P294" s="59"/>
      <c r="Q294" s="59"/>
      <c r="R294" s="59"/>
      <c r="S294" s="59"/>
      <c r="T294" s="59"/>
      <c r="U294" s="59"/>
      <c r="V294" s="59"/>
      <c r="W294" s="59"/>
      <c r="X294" s="59"/>
      <c r="Y294" s="59"/>
      <c r="Z294" s="59"/>
      <c r="AA294" s="59"/>
      <c r="AB294" s="59"/>
      <c r="AC294" s="59"/>
      <c r="AD294" s="58"/>
    </row>
    <row r="295" spans="2:33" s="56" customFormat="1" x14ac:dyDescent="0.25" hidden="true">
      <c r="B295" s="59"/>
      <c r="C295" s="59"/>
      <c r="D295" s="59"/>
      <c r="E295" s="59"/>
      <c r="F295" s="59"/>
      <c r="G295" s="59"/>
      <c r="H295" s="59"/>
      <c r="I295" s="59"/>
      <c r="J295" s="59"/>
      <c r="K295" s="59"/>
      <c r="L295" s="59"/>
      <c r="M295" s="59"/>
      <c r="N295" s="59"/>
      <c r="O295" s="59"/>
      <c r="P295" s="59"/>
      <c r="Q295" s="59"/>
      <c r="R295" s="59"/>
      <c r="S295" s="59"/>
      <c r="T295" s="59"/>
      <c r="U295" s="59"/>
      <c r="V295" s="59"/>
      <c r="W295" s="59"/>
      <c r="X295" s="59"/>
      <c r="Y295" s="59"/>
      <c r="Z295" s="59"/>
      <c r="AA295" s="59"/>
      <c r="AB295" s="59"/>
      <c r="AC295" s="59"/>
      <c r="AD295" s="58"/>
    </row>
    <row r="296" spans="2:33" s="56" customFormat="1" x14ac:dyDescent="0.25" hidden="true">
      <c r="B296" s="59"/>
      <c r="C296" s="59"/>
      <c r="D296" s="59"/>
      <c r="E296" s="59"/>
      <c r="F296" s="59"/>
      <c r="G296" s="59"/>
      <c r="H296" s="59"/>
      <c r="I296" s="59"/>
      <c r="J296" s="59"/>
      <c r="K296" s="59"/>
      <c r="L296" s="59"/>
      <c r="M296" s="59"/>
      <c r="N296" s="59"/>
      <c r="O296" s="59"/>
      <c r="P296" s="59"/>
      <c r="Q296" s="59"/>
      <c r="R296" s="59"/>
      <c r="S296" s="59"/>
      <c r="T296" s="59"/>
      <c r="U296" s="59"/>
      <c r="V296" s="59"/>
      <c r="W296" s="59"/>
      <c r="X296" s="59"/>
      <c r="Y296" s="59"/>
      <c r="Z296" s="59"/>
      <c r="AA296" s="59"/>
      <c r="AB296" s="59"/>
      <c r="AC296" s="59"/>
      <c r="AD296" s="58"/>
    </row>
    <row r="297" spans="2:33" s="56" customFormat="1" x14ac:dyDescent="0.25" hidden="true">
      <c r="B297" s="59"/>
      <c r="C297" s="59"/>
      <c r="D297" s="59"/>
      <c r="E297" s="59"/>
      <c r="F297" s="59"/>
      <c r="G297" s="59"/>
      <c r="H297" s="59"/>
      <c r="I297" s="59"/>
      <c r="J297" s="59"/>
      <c r="K297" s="59"/>
      <c r="L297" s="59"/>
      <c r="M297" s="59"/>
      <c r="N297" s="59"/>
      <c r="O297" s="59"/>
      <c r="P297" s="59"/>
      <c r="Q297" s="59"/>
      <c r="R297" s="59"/>
      <c r="S297" s="59"/>
      <c r="T297" s="59"/>
      <c r="U297" s="59"/>
      <c r="V297" s="59"/>
      <c r="W297" s="59"/>
      <c r="X297" s="59"/>
      <c r="Y297" s="59"/>
      <c r="Z297" s="59"/>
      <c r="AA297" s="59"/>
      <c r="AB297" s="59"/>
      <c r="AC297" s="59"/>
      <c r="AD297" s="58"/>
    </row>
    <row r="298" spans="2:33" s="44" customFormat="1" x14ac:dyDescent="0.25" hidden="true">
      <c r="B298" s="59"/>
      <c r="C298" s="59"/>
      <c r="D298" s="59"/>
      <c r="E298" s="59"/>
      <c r="F298" s="59"/>
      <c r="G298" s="59"/>
      <c r="H298" s="59"/>
      <c r="I298" s="59"/>
      <c r="J298" s="59"/>
      <c r="K298" s="59"/>
      <c r="L298" s="59"/>
      <c r="M298" s="59"/>
      <c r="N298" s="59"/>
      <c r="O298" s="59"/>
      <c r="P298" s="59"/>
      <c r="Q298" s="59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58"/>
    </row>
    <row r="299" spans="2:33" s="44" customFormat="1" x14ac:dyDescent="0.25" hidden="true">
      <c r="B299" s="59" t="s">
        <v>577</v>
      </c>
      <c r="C299" s="59"/>
      <c r="D299" s="59"/>
      <c r="E299" s="59"/>
      <c r="F299" s="59"/>
      <c r="G299" s="59"/>
      <c r="H299" s="59"/>
      <c r="I299" s="59" t="s">
        <v>577</v>
      </c>
      <c r="J299" s="59"/>
      <c r="K299" s="59"/>
      <c r="L299" s="59"/>
      <c r="M299" s="59"/>
      <c r="N299" s="59"/>
      <c r="O299" s="59"/>
      <c r="P299" s="59" t="s">
        <v>577</v>
      </c>
      <c r="Q299" s="59"/>
      <c r="R299" s="59"/>
      <c r="S299" s="59"/>
      <c r="T299" s="59"/>
      <c r="U299" s="59"/>
      <c r="V299" s="59"/>
      <c r="W299" s="59" t="s">
        <v>577</v>
      </c>
      <c r="X299" s="59"/>
      <c r="Y299" s="59"/>
      <c r="Z299" s="59"/>
      <c r="AA299" s="59"/>
      <c r="AB299" s="59"/>
      <c r="AC299" s="59"/>
      <c r="AD299" s="58"/>
    </row>
    <row r="300" spans="2:33" s="44" customFormat="1" x14ac:dyDescent="0.25" hidden="true">
      <c r="B300" s="59"/>
      <c r="C300" s="59"/>
      <c r="D300" s="59"/>
      <c r="E300" s="59"/>
      <c r="F300" s="59"/>
      <c r="G300" s="59"/>
      <c r="H300" s="59"/>
      <c r="I300" s="59"/>
      <c r="J300" s="59"/>
      <c r="K300" s="59"/>
      <c r="L300" s="59"/>
      <c r="M300" s="59"/>
      <c r="N300" s="59"/>
      <c r="O300" s="59"/>
      <c r="P300" s="59"/>
      <c r="Q300" s="59"/>
      <c r="R300" s="59"/>
      <c r="S300" s="59"/>
      <c r="T300" s="59"/>
      <c r="U300" s="59"/>
      <c r="V300" s="59"/>
      <c r="W300" s="59"/>
      <c r="X300" s="59"/>
      <c r="Y300" s="59"/>
      <c r="Z300" s="59"/>
      <c r="AA300" s="59"/>
      <c r="AB300" s="59"/>
      <c r="AC300" s="59"/>
      <c r="AD300" s="58"/>
    </row>
    <row r="301" spans="2:33" s="44" customFormat="1" x14ac:dyDescent="0.25" hidden="true">
      <c r="B301" s="59"/>
      <c r="C301" s="59"/>
      <c r="D301" s="59"/>
      <c r="E301" s="59"/>
      <c r="F301" s="59"/>
      <c r="G301" s="59"/>
      <c r="H301" s="59"/>
      <c r="I301" s="59"/>
      <c r="J301" s="59"/>
      <c r="K301" s="59"/>
      <c r="L301" s="59"/>
      <c r="M301" s="59"/>
      <c r="N301" s="59"/>
      <c r="O301" s="59"/>
      <c r="P301" s="59"/>
      <c r="Q301" s="59"/>
      <c r="R301" s="59"/>
      <c r="S301" s="59"/>
      <c r="T301" s="59"/>
      <c r="U301" s="59"/>
      <c r="V301" s="59"/>
      <c r="W301" s="59"/>
      <c r="X301" s="59"/>
      <c r="Y301" s="59"/>
      <c r="Z301" s="59"/>
      <c r="AA301" s="59"/>
      <c r="AB301" s="59"/>
      <c r="AC301" s="59"/>
      <c r="AD301" s="58"/>
    </row>
    <row r="302" spans="2:33" s="44" customFormat="1" ht="6.95" customHeight="1" x14ac:dyDescent="0.25" hidden="true">
      <c r="B302" s="59"/>
      <c r="C302" s="59"/>
      <c r="D302" s="59"/>
      <c r="E302" s="59"/>
      <c r="F302" s="59"/>
      <c r="G302" s="59"/>
      <c r="H302" s="59"/>
      <c r="I302" s="59"/>
      <c r="J302" s="59"/>
      <c r="K302" s="59"/>
      <c r="L302" s="59"/>
      <c r="M302" s="59"/>
      <c r="N302" s="59"/>
      <c r="O302" s="59"/>
      <c r="P302" s="59"/>
      <c r="Q302" s="59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21"/>
    </row>
    <row r="303" spans="2:33" s="44" customFormat="1" x14ac:dyDescent="0.25" hidden="true">
      <c r="B303" s="59"/>
      <c r="C303" s="59"/>
      <c r="D303" s="59"/>
      <c r="E303" s="59"/>
      <c r="F303" s="59"/>
      <c r="G303" s="59"/>
      <c r="H303" s="59"/>
      <c r="I303" s="59"/>
      <c r="J303" s="59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  <c r="W303" s="59"/>
      <c r="X303" s="59"/>
      <c r="Y303" s="59"/>
      <c r="Z303" s="59"/>
      <c r="AA303" s="59"/>
      <c r="AB303" s="59"/>
      <c r="AC303" s="59"/>
      <c r="AD303" s="58"/>
    </row>
    <row r="304" spans="2:33" s="44" customFormat="1" x14ac:dyDescent="0.25" hidden="true">
      <c r="B304" s="59"/>
      <c r="C304" s="59"/>
      <c r="D304" s="59"/>
      <c r="E304" s="59"/>
      <c r="F304" s="59"/>
      <c r="G304" s="59"/>
      <c r="H304" s="59"/>
      <c r="I304" s="59"/>
      <c r="J304" s="59"/>
      <c r="K304" s="59"/>
      <c r="L304" s="59"/>
      <c r="M304" s="59"/>
      <c r="N304" s="59"/>
      <c r="O304" s="59"/>
      <c r="P304" s="59"/>
      <c r="Q304" s="59"/>
      <c r="R304" s="59"/>
      <c r="S304" s="59"/>
      <c r="T304" s="59"/>
      <c r="U304" s="59"/>
      <c r="V304" s="59"/>
      <c r="W304" s="59"/>
      <c r="X304" s="59"/>
      <c r="Y304" s="59"/>
      <c r="Z304" s="59"/>
      <c r="AA304" s="59"/>
      <c r="AB304" s="59"/>
      <c r="AC304" s="59"/>
      <c r="AD304" s="58"/>
    </row>
    <row r="305" spans="2:34" s="44" customFormat="1" x14ac:dyDescent="0.25" hidden="true">
      <c r="B305" s="59"/>
      <c r="C305" s="59"/>
      <c r="D305" s="59"/>
      <c r="E305" s="59"/>
      <c r="F305" s="59"/>
      <c r="G305" s="59"/>
      <c r="H305" s="59"/>
      <c r="I305" s="59"/>
      <c r="J305" s="59"/>
      <c r="K305" s="59"/>
      <c r="L305" s="59"/>
      <c r="M305" s="59"/>
      <c r="N305" s="59"/>
      <c r="O305" s="59"/>
      <c r="P305" s="59"/>
      <c r="Q305" s="59"/>
      <c r="R305" s="59"/>
      <c r="S305" s="59"/>
      <c r="T305" s="59"/>
      <c r="U305" s="59"/>
      <c r="V305" s="59"/>
      <c r="W305" s="59"/>
      <c r="X305" s="59"/>
      <c r="Y305" s="59"/>
      <c r="Z305" s="59"/>
      <c r="AA305" s="59"/>
      <c r="AB305" s="59"/>
      <c r="AC305" s="59"/>
      <c r="AD305" s="58"/>
    </row>
    <row r="306" spans="2:34" s="44" customFormat="1" x14ac:dyDescent="0.25" hidden="true">
      <c r="B306" s="59" t="s">
        <v>577</v>
      </c>
      <c r="C306" s="59"/>
      <c r="D306" s="59"/>
      <c r="E306" s="59"/>
      <c r="F306" s="59"/>
      <c r="G306" s="59"/>
      <c r="H306" s="59"/>
      <c r="I306" s="59" t="s">
        <v>577</v>
      </c>
      <c r="J306" s="59"/>
      <c r="K306" s="59"/>
      <c r="L306" s="59"/>
      <c r="M306" s="59"/>
      <c r="N306" s="59"/>
      <c r="O306" s="59"/>
      <c r="P306" s="59" t="s">
        <v>577</v>
      </c>
      <c r="Q306" s="59"/>
      <c r="R306" s="59"/>
      <c r="S306" s="59"/>
      <c r="T306" s="59"/>
      <c r="U306" s="59"/>
      <c r="V306" s="59"/>
      <c r="W306" s="59" t="s">
        <v>577</v>
      </c>
      <c r="X306" s="59"/>
      <c r="Y306" s="59"/>
      <c r="Z306" s="59"/>
      <c r="AA306" s="59"/>
      <c r="AB306" s="59"/>
      <c r="AC306" s="59"/>
      <c r="AD306" s="58"/>
    </row>
    <row r="307" spans="2:34" s="44" customFormat="1" x14ac:dyDescent="0.25" hidden="true">
      <c r="B307" s="59"/>
      <c r="C307" s="59"/>
      <c r="D307" s="59"/>
      <c r="E307" s="59"/>
      <c r="F307" s="59"/>
      <c r="G307" s="59"/>
      <c r="H307" s="59"/>
      <c r="I307" s="59"/>
      <c r="J307" s="59"/>
      <c r="K307" s="59"/>
      <c r="L307" s="59"/>
      <c r="M307" s="59"/>
      <c r="N307" s="59"/>
      <c r="O307" s="59"/>
      <c r="P307" s="59"/>
      <c r="Q307" s="59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58"/>
    </row>
    <row r="308" spans="2:34" s="44" customFormat="1" x14ac:dyDescent="0.25" hidden="true">
      <c r="B308" s="59"/>
      <c r="C308" s="59"/>
      <c r="D308" s="59"/>
      <c r="E308" s="59"/>
      <c r="F308" s="59"/>
      <c r="G308" s="59"/>
      <c r="H308" s="59"/>
      <c r="I308" s="59"/>
      <c r="J308" s="59"/>
      <c r="K308" s="59"/>
      <c r="L308" s="59"/>
      <c r="M308" s="59"/>
      <c r="N308" s="59"/>
      <c r="O308" s="59"/>
      <c r="P308" s="59"/>
      <c r="Q308" s="59"/>
      <c r="R308" s="59"/>
      <c r="S308" s="59"/>
      <c r="T308" s="59"/>
      <c r="U308" s="59"/>
      <c r="V308" s="59"/>
      <c r="W308" s="59"/>
      <c r="X308" s="59"/>
      <c r="Y308" s="59"/>
      <c r="Z308" s="59"/>
      <c r="AA308" s="59"/>
      <c r="AB308" s="59"/>
      <c r="AC308" s="59"/>
      <c r="AD308" s="58"/>
    </row>
    <row r="309" spans="2:34" s="44" customFormat="1" x14ac:dyDescent="0.25" hidden="true">
      <c r="B309" s="59"/>
      <c r="C309" s="59"/>
      <c r="D309" s="59"/>
      <c r="E309" s="59"/>
      <c r="F309" s="59"/>
      <c r="G309" s="59"/>
      <c r="H309" s="59"/>
      <c r="I309" s="59"/>
      <c r="J309" s="59"/>
      <c r="K309" s="59"/>
      <c r="L309" s="59"/>
      <c r="M309" s="59"/>
      <c r="N309" s="59"/>
      <c r="O309" s="59"/>
      <c r="P309" s="59"/>
      <c r="Q309" s="59"/>
      <c r="R309" s="59"/>
      <c r="S309" s="59"/>
      <c r="T309" s="59"/>
      <c r="U309" s="59"/>
      <c r="V309" s="59"/>
      <c r="W309" s="59"/>
      <c r="X309" s="59"/>
      <c r="Y309" s="59"/>
      <c r="Z309" s="59"/>
      <c r="AA309" s="59"/>
      <c r="AB309" s="59"/>
      <c r="AC309" s="59"/>
      <c r="AD309" s="58"/>
    </row>
    <row r="310" spans="2:34" s="44" customFormat="1" x14ac:dyDescent="0.25" hidden="true">
      <c r="B310" s="59"/>
      <c r="C310" s="59"/>
      <c r="D310" s="59"/>
      <c r="E310" s="59"/>
      <c r="F310" s="59"/>
      <c r="G310" s="59"/>
      <c r="H310" s="59"/>
      <c r="I310" s="59"/>
      <c r="J310" s="59"/>
      <c r="K310" s="59"/>
      <c r="L310" s="59"/>
      <c r="M310" s="59"/>
      <c r="N310" s="59"/>
      <c r="O310" s="59"/>
      <c r="P310" s="59"/>
      <c r="Q310" s="59"/>
      <c r="R310" s="59"/>
      <c r="S310" s="59"/>
      <c r="T310" s="59"/>
      <c r="U310" s="59"/>
      <c r="V310" s="59"/>
      <c r="W310" s="59"/>
      <c r="X310" s="59"/>
      <c r="Y310" s="59"/>
      <c r="Z310" s="59"/>
      <c r="AA310" s="59"/>
      <c r="AB310" s="59"/>
      <c r="AC310" s="59"/>
      <c r="AD310" s="58"/>
    </row>
    <row r="311" spans="2:34" s="44" customFormat="1" x14ac:dyDescent="0.25" hidden="true">
      <c r="B311" s="59"/>
      <c r="C311" s="59"/>
      <c r="D311" s="59"/>
      <c r="E311" s="59"/>
      <c r="F311" s="59"/>
      <c r="G311" s="59"/>
      <c r="H311" s="59"/>
      <c r="I311" s="59"/>
      <c r="J311" s="59"/>
      <c r="K311" s="59"/>
      <c r="L311" s="59"/>
      <c r="M311" s="59"/>
      <c r="N311" s="59"/>
      <c r="O311" s="59"/>
      <c r="P311" s="59"/>
      <c r="Q311" s="59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58"/>
    </row>
    <row r="312" spans="2:34" s="44" customFormat="1" x14ac:dyDescent="0.25" hidden="true">
      <c r="B312" s="59"/>
      <c r="C312" s="59"/>
      <c r="D312" s="59"/>
      <c r="E312" s="59"/>
      <c r="F312" s="59"/>
      <c r="G312" s="59"/>
      <c r="H312" s="59"/>
      <c r="I312" s="59"/>
      <c r="J312" s="59"/>
      <c r="K312" s="59"/>
      <c r="L312" s="59"/>
      <c r="M312" s="59"/>
      <c r="N312" s="59"/>
      <c r="O312" s="59"/>
      <c r="P312" s="59"/>
      <c r="Q312" s="59"/>
      <c r="R312" s="59"/>
      <c r="S312" s="59"/>
      <c r="T312" s="59"/>
      <c r="U312" s="59"/>
      <c r="V312" s="59"/>
      <c r="W312" s="59"/>
      <c r="X312" s="59"/>
      <c r="Y312" s="59"/>
      <c r="Z312" s="59"/>
      <c r="AA312" s="59"/>
      <c r="AB312" s="59"/>
      <c r="AC312" s="59"/>
      <c r="AD312" s="58"/>
    </row>
    <row r="313" spans="2:34" s="1" customFormat="1" x14ac:dyDescent="0.25" hidden="true">
      <c r="B313" s="85" t="s">
        <v>223</v>
      </c>
      <c r="C313" s="85"/>
      <c r="D313" s="85"/>
      <c r="E313" s="85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  <c r="S313" s="86"/>
      <c r="T313" s="85" t="s">
        <v>41</v>
      </c>
      <c r="U313" s="85"/>
      <c r="V313" s="85"/>
      <c r="W313" s="85"/>
      <c r="X313" s="85"/>
      <c r="Y313" s="85"/>
      <c r="Z313" s="85"/>
      <c r="AA313" s="85"/>
      <c r="AB313" s="85"/>
      <c r="AC313" s="86"/>
      <c r="AD313" s="86"/>
    </row>
    <row r="314" spans="2:34" s="1" customFormat="1" ht="15" customHeight="1" x14ac:dyDescent="0.25" hidden="true">
      <c r="B314" s="83"/>
      <c r="C314" s="83"/>
      <c r="D314" s="83"/>
      <c r="E314" s="83"/>
      <c r="F314" s="83"/>
      <c r="G314" s="83"/>
      <c r="H314" s="83"/>
      <c r="I314" s="83"/>
      <c r="J314" s="83"/>
      <c r="K314" s="83"/>
      <c r="L314" s="83"/>
      <c r="M314" s="83"/>
      <c r="N314" s="83"/>
      <c r="O314" s="83"/>
      <c r="P314" s="83"/>
      <c r="Q314" s="83"/>
      <c r="R314" s="83"/>
      <c r="S314" s="83"/>
      <c r="T314" s="83"/>
      <c r="U314" s="83"/>
      <c r="V314" s="83"/>
      <c r="W314" s="83"/>
      <c r="X314" s="83"/>
      <c r="Y314" s="83"/>
      <c r="Z314" s="83"/>
      <c r="AA314" s="83"/>
      <c r="AB314" s="83"/>
      <c r="AC314" s="83"/>
      <c r="AD314" s="83"/>
      <c r="AG314" s="1" t="str">
        <f>SUBSTITUTE(AH314,",","; ")</f>
        <v/>
      </c>
      <c r="AH314" s="1"/>
    </row>
    <row r="315" spans="2:34" s="1" customFormat="1" x14ac:dyDescent="0.25" hidden="true">
      <c r="B315" s="83"/>
      <c r="C315" s="83"/>
      <c r="D315" s="83"/>
      <c r="E315" s="83"/>
      <c r="F315" s="83"/>
      <c r="G315" s="83"/>
      <c r="H315" s="83"/>
      <c r="I315" s="83"/>
      <c r="J315" s="83"/>
      <c r="K315" s="83"/>
      <c r="L315" s="83"/>
      <c r="M315" s="83"/>
      <c r="N315" s="83"/>
      <c r="O315" s="83"/>
      <c r="P315" s="83"/>
      <c r="Q315" s="83"/>
      <c r="R315" s="83"/>
      <c r="S315" s="83"/>
      <c r="T315" s="83"/>
      <c r="U315" s="83"/>
      <c r="V315" s="83"/>
      <c r="W315" s="83"/>
      <c r="X315" s="83"/>
      <c r="Y315" s="83"/>
      <c r="Z315" s="83"/>
      <c r="AA315" s="83"/>
      <c r="AB315" s="83"/>
      <c r="AC315" s="83"/>
      <c r="AD315" s="83"/>
      <c r="AG315" s="1" t="str">
        <f t="shared" ref="AG315:AG323" si="6">SUBSTITUTE(AH315,",","; ")</f>
        <v/>
      </c>
      <c r="AH315" s="1"/>
    </row>
    <row r="316" spans="2:34" s="1" customFormat="1" ht="7.5" customHeight="1" x14ac:dyDescent="0.25" hidden="true"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V316" s="2"/>
      <c r="W316" s="2"/>
      <c r="X316" s="2"/>
      <c r="Y316" s="2"/>
      <c r="Z316" s="2"/>
      <c r="AA316" s="2"/>
      <c r="AB316" s="2"/>
      <c r="AC316" s="2"/>
      <c r="AG316" s="1" t="str">
        <f t="shared" si="6"/>
        <v/>
      </c>
    </row>
    <row r="317" spans="2:34" s="1" customFormat="1" x14ac:dyDescent="0.25" hidden="true">
      <c r="B317" s="80"/>
      <c r="C317" s="81"/>
      <c r="D317" s="81"/>
      <c r="E317" s="81"/>
      <c r="F317" s="81"/>
      <c r="G317" s="81"/>
      <c r="H317" s="81"/>
      <c r="I317" s="81"/>
      <c r="J317" s="81"/>
      <c r="K317" s="82"/>
      <c r="L317" s="80"/>
      <c r="M317" s="81"/>
      <c r="N317" s="81"/>
      <c r="O317" s="81"/>
      <c r="P317" s="81"/>
      <c r="Q317" s="81"/>
      <c r="R317" s="81"/>
      <c r="S317" s="81"/>
      <c r="T317" s="81"/>
      <c r="U317" s="82"/>
      <c r="V317" s="80"/>
      <c r="W317" s="81"/>
      <c r="X317" s="81"/>
      <c r="Y317" s="81"/>
      <c r="Z317" s="81"/>
      <c r="AA317" s="81"/>
      <c r="AB317" s="81"/>
      <c r="AC317" s="81"/>
      <c r="AD317" s="82"/>
      <c r="AG317" s="1" t="str">
        <f t="shared" si="6"/>
        <v/>
      </c>
      <c r="AH317" s="1"/>
    </row>
    <row r="318" spans="2:34" s="1" customFormat="1" x14ac:dyDescent="0.25" hidden="true">
      <c r="B318" s="72" t="s">
        <v>42</v>
      </c>
      <c r="C318" s="73"/>
      <c r="D318" s="73"/>
      <c r="E318" s="73"/>
      <c r="F318" s="73"/>
      <c r="G318" s="73"/>
      <c r="H318" s="73"/>
      <c r="I318" s="74"/>
      <c r="J318" s="74"/>
      <c r="K318" s="32"/>
      <c r="L318" s="72" t="s">
        <v>42</v>
      </c>
      <c r="M318" s="73"/>
      <c r="N318" s="73"/>
      <c r="O318" s="73"/>
      <c r="P318" s="73"/>
      <c r="Q318" s="73"/>
      <c r="R318" s="73"/>
      <c r="S318" s="74"/>
      <c r="T318" s="74"/>
      <c r="U318" s="31"/>
      <c r="V318" s="30" t="s">
        <v>42</v>
      </c>
      <c r="W318" s="30"/>
      <c r="X318" s="30"/>
      <c r="Y318" s="30"/>
      <c r="Z318" s="30"/>
      <c r="AA318" s="30"/>
      <c r="AB318" s="55"/>
      <c r="AC318" s="74"/>
      <c r="AD318" s="84"/>
      <c r="AG318" s="1" t="str">
        <f t="shared" si="6"/>
        <v/>
      </c>
      <c r="AH318" s="1"/>
    </row>
    <row r="319" spans="2:34" s="1" customFormat="1" ht="15" customHeight="1" x14ac:dyDescent="0.25" hidden="true">
      <c r="B319" s="77" t="s">
        <v>43</v>
      </c>
      <c r="C319" s="78"/>
      <c r="D319" s="78"/>
      <c r="E319" s="78"/>
      <c r="F319" s="78"/>
      <c r="G319" s="78"/>
      <c r="H319" s="78"/>
      <c r="I319" s="78"/>
      <c r="J319" s="78"/>
      <c r="K319" s="79"/>
      <c r="L319" s="77" t="s">
        <v>43</v>
      </c>
      <c r="M319" s="78"/>
      <c r="N319" s="78"/>
      <c r="O319" s="78"/>
      <c r="P319" s="78"/>
      <c r="Q319" s="78"/>
      <c r="R319" s="78"/>
      <c r="S319" s="78"/>
      <c r="T319" s="78"/>
      <c r="U319" s="79"/>
      <c r="V319" s="77" t="s">
        <v>43</v>
      </c>
      <c r="W319" s="78"/>
      <c r="X319" s="78"/>
      <c r="Y319" s="78"/>
      <c r="Z319" s="78"/>
      <c r="AA319" s="78"/>
      <c r="AB319" s="78"/>
      <c r="AC319" s="78"/>
      <c r="AD319" s="79"/>
      <c r="AG319" s="1" t="str">
        <f t="shared" si="6"/>
        <v/>
      </c>
      <c r="AH319" s="1"/>
    </row>
    <row r="320" spans="2:34" s="1" customFormat="1" ht="15" customHeight="1" x14ac:dyDescent="0.25" hidden="true">
      <c r="B320" s="66" t="str">
        <f>AG314</f>
        <v/>
      </c>
      <c r="C320" s="67"/>
      <c r="D320" s="67"/>
      <c r="E320" s="67"/>
      <c r="F320" s="67"/>
      <c r="G320" s="67"/>
      <c r="H320" s="67"/>
      <c r="I320" s="67"/>
      <c r="J320" s="67"/>
      <c r="K320" s="68"/>
      <c r="L320" s="66" t="str">
        <f>AG315</f>
        <v/>
      </c>
      <c r="M320" s="67"/>
      <c r="N320" s="67"/>
      <c r="O320" s="67"/>
      <c r="P320" s="67"/>
      <c r="Q320" s="67"/>
      <c r="R320" s="67"/>
      <c r="S320" s="67"/>
      <c r="T320" s="67"/>
      <c r="U320" s="68"/>
      <c r="V320" s="66" t="str">
        <f>AG317</f>
        <v/>
      </c>
      <c r="W320" s="67"/>
      <c r="X320" s="67"/>
      <c r="Y320" s="67"/>
      <c r="Z320" s="67"/>
      <c r="AA320" s="67"/>
      <c r="AB320" s="67"/>
      <c r="AC320" s="67"/>
      <c r="AD320" s="68"/>
      <c r="AG320" s="1" t="str">
        <f t="shared" si="6"/>
        <v/>
      </c>
      <c r="AH320" s="1"/>
    </row>
    <row r="321" spans="2:34" s="1" customFormat="1" x14ac:dyDescent="0.25" hidden="true">
      <c r="B321" s="66"/>
      <c r="C321" s="67"/>
      <c r="D321" s="67"/>
      <c r="E321" s="67"/>
      <c r="F321" s="67"/>
      <c r="G321" s="67"/>
      <c r="H321" s="67"/>
      <c r="I321" s="67"/>
      <c r="J321" s="67"/>
      <c r="K321" s="68"/>
      <c r="L321" s="66"/>
      <c r="M321" s="67"/>
      <c r="N321" s="67"/>
      <c r="O321" s="67"/>
      <c r="P321" s="67"/>
      <c r="Q321" s="67"/>
      <c r="R321" s="67"/>
      <c r="S321" s="67"/>
      <c r="T321" s="67"/>
      <c r="U321" s="68"/>
      <c r="V321" s="66"/>
      <c r="W321" s="67"/>
      <c r="X321" s="67"/>
      <c r="Y321" s="67"/>
      <c r="Z321" s="67"/>
      <c r="AA321" s="67"/>
      <c r="AB321" s="67"/>
      <c r="AC321" s="67"/>
      <c r="AD321" s="68"/>
      <c r="AG321" s="1" t="str">
        <f t="shared" si="6"/>
        <v/>
      </c>
      <c r="AH321" s="1"/>
    </row>
    <row r="322" spans="2:34" s="1" customFormat="1" x14ac:dyDescent="0.25" hidden="true">
      <c r="B322" s="66"/>
      <c r="C322" s="67"/>
      <c r="D322" s="67"/>
      <c r="E322" s="67"/>
      <c r="F322" s="67"/>
      <c r="G322" s="67"/>
      <c r="H322" s="67"/>
      <c r="I322" s="67"/>
      <c r="J322" s="67"/>
      <c r="K322" s="68"/>
      <c r="L322" s="66"/>
      <c r="M322" s="67"/>
      <c r="N322" s="67"/>
      <c r="O322" s="67"/>
      <c r="P322" s="67"/>
      <c r="Q322" s="67"/>
      <c r="R322" s="67"/>
      <c r="S322" s="67"/>
      <c r="T322" s="67"/>
      <c r="U322" s="68"/>
      <c r="V322" s="66"/>
      <c r="W322" s="67"/>
      <c r="X322" s="67"/>
      <c r="Y322" s="67"/>
      <c r="Z322" s="67"/>
      <c r="AA322" s="67"/>
      <c r="AB322" s="67"/>
      <c r="AC322" s="67"/>
      <c r="AD322" s="68"/>
      <c r="AG322" s="1" t="str">
        <f t="shared" si="6"/>
        <v/>
      </c>
      <c r="AH322" s="57"/>
    </row>
    <row r="323" spans="2:34" s="1" customFormat="1" x14ac:dyDescent="0.25" hidden="true">
      <c r="B323" s="66"/>
      <c r="C323" s="67"/>
      <c r="D323" s="67"/>
      <c r="E323" s="67"/>
      <c r="F323" s="67"/>
      <c r="G323" s="67"/>
      <c r="H323" s="67"/>
      <c r="I323" s="67"/>
      <c r="J323" s="67"/>
      <c r="K323" s="68"/>
      <c r="L323" s="66"/>
      <c r="M323" s="67"/>
      <c r="N323" s="67"/>
      <c r="O323" s="67"/>
      <c r="P323" s="67"/>
      <c r="Q323" s="67"/>
      <c r="R323" s="67"/>
      <c r="S323" s="67"/>
      <c r="T323" s="67"/>
      <c r="U323" s="68"/>
      <c r="V323" s="66"/>
      <c r="W323" s="67"/>
      <c r="X323" s="67"/>
      <c r="Y323" s="67"/>
      <c r="Z323" s="67"/>
      <c r="AA323" s="67"/>
      <c r="AB323" s="67"/>
      <c r="AC323" s="67"/>
      <c r="AD323" s="68"/>
      <c r="AG323" s="1" t="str">
        <f t="shared" si="6"/>
        <v/>
      </c>
      <c r="AH323" s="57"/>
    </row>
    <row r="324" spans="2:34" s="1" customFormat="1" ht="6.95" customHeight="1" x14ac:dyDescent="0.25" hidden="true">
      <c r="B324" s="69"/>
      <c r="C324" s="70"/>
      <c r="D324" s="70"/>
      <c r="E324" s="70"/>
      <c r="F324" s="70"/>
      <c r="G324" s="70"/>
      <c r="H324" s="70"/>
      <c r="I324" s="70"/>
      <c r="J324" s="70"/>
      <c r="K324" s="71"/>
      <c r="L324" s="69"/>
      <c r="M324" s="70"/>
      <c r="N324" s="70"/>
      <c r="O324" s="70"/>
      <c r="P324" s="70"/>
      <c r="Q324" s="70"/>
      <c r="R324" s="70"/>
      <c r="S324" s="70"/>
      <c r="T324" s="70"/>
      <c r="U324" s="71"/>
      <c r="V324" s="69"/>
      <c r="W324" s="70"/>
      <c r="X324" s="70"/>
      <c r="Y324" s="70"/>
      <c r="Z324" s="70"/>
      <c r="AA324" s="70"/>
      <c r="AB324" s="70"/>
      <c r="AC324" s="70"/>
      <c r="AD324" s="71"/>
    </row>
    <row r="325" spans="2:34" s="1" customFormat="1" x14ac:dyDescent="0.25" hidden="true">
      <c r="B325" s="80"/>
      <c r="C325" s="81"/>
      <c r="D325" s="81"/>
      <c r="E325" s="81"/>
      <c r="F325" s="81"/>
      <c r="G325" s="81"/>
      <c r="H325" s="81"/>
      <c r="I325" s="81"/>
      <c r="J325" s="81"/>
      <c r="K325" s="82"/>
      <c r="L325" s="80"/>
      <c r="M325" s="81"/>
      <c r="N325" s="81"/>
      <c r="O325" s="81"/>
      <c r="P325" s="81"/>
      <c r="Q325" s="81"/>
      <c r="R325" s="81"/>
      <c r="S325" s="81"/>
      <c r="T325" s="81"/>
      <c r="U325" s="81"/>
      <c r="V325" s="81"/>
      <c r="W325" s="81"/>
      <c r="X325" s="81"/>
      <c r="Y325" s="81"/>
      <c r="Z325" s="81"/>
      <c r="AA325" s="81"/>
      <c r="AB325" s="81"/>
      <c r="AC325" s="81"/>
      <c r="AD325" s="82"/>
    </row>
    <row r="326" spans="2:34" s="1" customFormat="1" x14ac:dyDescent="0.25" hidden="true">
      <c r="B326" s="72" t="s">
        <v>42</v>
      </c>
      <c r="C326" s="73"/>
      <c r="D326" s="73"/>
      <c r="E326" s="73"/>
      <c r="F326" s="73"/>
      <c r="G326" s="73"/>
      <c r="H326" s="73"/>
      <c r="I326" s="74"/>
      <c r="J326" s="74"/>
      <c r="K326" s="32"/>
      <c r="L326" s="72" t="s">
        <v>42</v>
      </c>
      <c r="M326" s="73"/>
      <c r="N326" s="73"/>
      <c r="O326" s="73"/>
      <c r="P326" s="73"/>
      <c r="Q326" s="73"/>
      <c r="R326" s="73"/>
      <c r="S326" s="74"/>
      <c r="T326" s="74"/>
      <c r="U326" s="28"/>
      <c r="V326" s="35"/>
      <c r="W326" s="35"/>
      <c r="X326" s="35"/>
      <c r="Y326" s="35"/>
      <c r="Z326" s="35"/>
      <c r="AA326" s="35"/>
      <c r="AB326" s="35"/>
      <c r="AC326" s="75"/>
      <c r="AD326" s="76"/>
    </row>
    <row r="327" spans="2:34" s="1" customFormat="1" ht="15" customHeight="1" x14ac:dyDescent="0.25" hidden="true">
      <c r="B327" s="77" t="s">
        <v>43</v>
      </c>
      <c r="C327" s="78"/>
      <c r="D327" s="78"/>
      <c r="E327" s="78"/>
      <c r="F327" s="78"/>
      <c r="G327" s="78"/>
      <c r="H327" s="78"/>
      <c r="I327" s="78"/>
      <c r="J327" s="78"/>
      <c r="K327" s="79"/>
      <c r="L327" s="77" t="s">
        <v>43</v>
      </c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  <c r="X327" s="78"/>
      <c r="Y327" s="78"/>
      <c r="Z327" s="78"/>
      <c r="AA327" s="78"/>
      <c r="AB327" s="78"/>
      <c r="AC327" s="78"/>
      <c r="AD327" s="79"/>
    </row>
    <row r="328" spans="2:34" s="1" customFormat="1" ht="15" customHeight="1" x14ac:dyDescent="0.25" hidden="true">
      <c r="B328" s="66" t="str">
        <f>AG318</f>
        <v/>
      </c>
      <c r="C328" s="67"/>
      <c r="D328" s="67"/>
      <c r="E328" s="67"/>
      <c r="F328" s="67"/>
      <c r="G328" s="67"/>
      <c r="H328" s="67"/>
      <c r="I328" s="67"/>
      <c r="J328" s="67"/>
      <c r="K328" s="68"/>
      <c r="L328" s="66" t="str">
        <f>AG319</f>
        <v/>
      </c>
      <c r="M328" s="67"/>
      <c r="N328" s="67"/>
      <c r="O328" s="67"/>
      <c r="P328" s="67"/>
      <c r="Q328" s="67"/>
      <c r="R328" s="67"/>
      <c r="S328" s="67"/>
      <c r="T328" s="67"/>
      <c r="U328" s="67"/>
      <c r="V328" s="67"/>
      <c r="W328" s="67"/>
      <c r="X328" s="67"/>
      <c r="Y328" s="67"/>
      <c r="Z328" s="67"/>
      <c r="AA328" s="67"/>
      <c r="AB328" s="67"/>
      <c r="AC328" s="67"/>
      <c r="AD328" s="68"/>
    </row>
    <row r="329" spans="2:34" s="1" customFormat="1" x14ac:dyDescent="0.25" hidden="true">
      <c r="B329" s="66"/>
      <c r="C329" s="67"/>
      <c r="D329" s="67"/>
      <c r="E329" s="67"/>
      <c r="F329" s="67"/>
      <c r="G329" s="67"/>
      <c r="H329" s="67"/>
      <c r="I329" s="67"/>
      <c r="J329" s="67"/>
      <c r="K329" s="68"/>
      <c r="L329" s="66"/>
      <c r="M329" s="67"/>
      <c r="N329" s="67"/>
      <c r="O329" s="67"/>
      <c r="P329" s="67"/>
      <c r="Q329" s="67"/>
      <c r="R329" s="67"/>
      <c r="S329" s="67"/>
      <c r="T329" s="67"/>
      <c r="U329" s="67"/>
      <c r="V329" s="67"/>
      <c r="W329" s="67"/>
      <c r="X329" s="67"/>
      <c r="Y329" s="67"/>
      <c r="Z329" s="67"/>
      <c r="AA329" s="67"/>
      <c r="AB329" s="67"/>
      <c r="AC329" s="67"/>
      <c r="AD329" s="68"/>
    </row>
    <row r="330" spans="2:34" s="1" customFormat="1" x14ac:dyDescent="0.25" hidden="true">
      <c r="B330" s="66"/>
      <c r="C330" s="67"/>
      <c r="D330" s="67"/>
      <c r="E330" s="67"/>
      <c r="F330" s="67"/>
      <c r="G330" s="67"/>
      <c r="H330" s="67"/>
      <c r="I330" s="67"/>
      <c r="J330" s="67"/>
      <c r="K330" s="68"/>
      <c r="L330" s="66"/>
      <c r="M330" s="67"/>
      <c r="N330" s="67"/>
      <c r="O330" s="67"/>
      <c r="P330" s="67"/>
      <c r="Q330" s="67"/>
      <c r="R330" s="67"/>
      <c r="S330" s="67"/>
      <c r="T330" s="67"/>
      <c r="U330" s="67"/>
      <c r="V330" s="67"/>
      <c r="W330" s="67"/>
      <c r="X330" s="67"/>
      <c r="Y330" s="67"/>
      <c r="Z330" s="67"/>
      <c r="AA330" s="67"/>
      <c r="AB330" s="67"/>
      <c r="AC330" s="67"/>
      <c r="AD330" s="68"/>
    </row>
    <row r="331" spans="2:34" s="1" customFormat="1" x14ac:dyDescent="0.25" hidden="true">
      <c r="B331" s="66"/>
      <c r="C331" s="67"/>
      <c r="D331" s="67"/>
      <c r="E331" s="67"/>
      <c r="F331" s="67"/>
      <c r="G331" s="67"/>
      <c r="H331" s="67"/>
      <c r="I331" s="67"/>
      <c r="J331" s="67"/>
      <c r="K331" s="68"/>
      <c r="L331" s="66"/>
      <c r="M331" s="67"/>
      <c r="N331" s="67"/>
      <c r="O331" s="67"/>
      <c r="P331" s="67"/>
      <c r="Q331" s="67"/>
      <c r="R331" s="67"/>
      <c r="S331" s="67"/>
      <c r="T331" s="67"/>
      <c r="U331" s="67"/>
      <c r="V331" s="67"/>
      <c r="W331" s="67"/>
      <c r="X331" s="67"/>
      <c r="Y331" s="67"/>
      <c r="Z331" s="67"/>
      <c r="AA331" s="67"/>
      <c r="AB331" s="67"/>
      <c r="AC331" s="67"/>
      <c r="AD331" s="68"/>
    </row>
    <row r="332" spans="2:34" s="1" customFormat="1" ht="6.95" customHeight="1" x14ac:dyDescent="0.25" hidden="true">
      <c r="B332" s="69"/>
      <c r="C332" s="70"/>
      <c r="D332" s="70"/>
      <c r="E332" s="70"/>
      <c r="F332" s="70"/>
      <c r="G332" s="70"/>
      <c r="H332" s="70"/>
      <c r="I332" s="70"/>
      <c r="J332" s="70"/>
      <c r="K332" s="71"/>
      <c r="L332" s="69"/>
      <c r="M332" s="70"/>
      <c r="N332" s="70"/>
      <c r="O332" s="70"/>
      <c r="P332" s="70"/>
      <c r="Q332" s="70"/>
      <c r="R332" s="70"/>
      <c r="S332" s="70"/>
      <c r="T332" s="70"/>
      <c r="U332" s="70"/>
      <c r="V332" s="70"/>
      <c r="W332" s="70"/>
      <c r="X332" s="70"/>
      <c r="Y332" s="70"/>
      <c r="Z332" s="70"/>
      <c r="AA332" s="70"/>
      <c r="AB332" s="70"/>
      <c r="AC332" s="70"/>
      <c r="AD332" s="71"/>
    </row>
    <row r="333" spans="2:34" s="1" customFormat="1" x14ac:dyDescent="0.25" hidden="true">
      <c r="B333" s="60" t="s">
        <v>44</v>
      </c>
      <c r="C333" s="61"/>
      <c r="D333" s="61"/>
      <c r="E333" s="61"/>
      <c r="F333" s="61"/>
      <c r="G333" s="61"/>
      <c r="H333" s="61"/>
      <c r="I333" s="61"/>
      <c r="J333" s="61"/>
      <c r="K333" s="61"/>
      <c r="L333" s="61"/>
      <c r="M333" s="61"/>
      <c r="N333" s="61"/>
      <c r="O333" s="62"/>
      <c r="P333" s="60" t="s">
        <v>45</v>
      </c>
      <c r="Q333" s="61"/>
      <c r="R333" s="61"/>
      <c r="S333" s="61"/>
      <c r="T333" s="61"/>
      <c r="U333" s="61"/>
      <c r="V333" s="61"/>
      <c r="W333" s="61"/>
      <c r="X333" s="61"/>
      <c r="Y333" s="61"/>
      <c r="Z333" s="61"/>
      <c r="AA333" s="61"/>
      <c r="AB333" s="61"/>
      <c r="AC333" s="61"/>
      <c r="AD333" s="62"/>
    </row>
    <row r="334" spans="2:34" s="1" customFormat="1" ht="15" customHeight="1" x14ac:dyDescent="0.25" hidden="true">
      <c r="B334" s="63" t="str">
        <f>AG320</f>
        <v/>
      </c>
      <c r="C334" s="64"/>
      <c r="D334" s="64"/>
      <c r="E334" s="64"/>
      <c r="F334" s="64"/>
      <c r="G334" s="64"/>
      <c r="H334" s="64"/>
      <c r="I334" s="64"/>
      <c r="J334" s="64"/>
      <c r="K334" s="64"/>
      <c r="L334" s="64"/>
      <c r="M334" s="64"/>
      <c r="N334" s="64"/>
      <c r="O334" s="65"/>
      <c r="P334" s="63" t="str">
        <f>AG321</f>
        <v/>
      </c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5"/>
    </row>
    <row r="335" spans="2:34" s="1" customFormat="1" ht="15" customHeight="1" x14ac:dyDescent="0.25" hidden="true">
      <c r="B335" s="66"/>
      <c r="C335" s="67"/>
      <c r="D335" s="67"/>
      <c r="E335" s="67"/>
      <c r="F335" s="67"/>
      <c r="G335" s="67"/>
      <c r="H335" s="67"/>
      <c r="I335" s="67"/>
      <c r="J335" s="67"/>
      <c r="K335" s="67"/>
      <c r="L335" s="67"/>
      <c r="M335" s="67"/>
      <c r="N335" s="67"/>
      <c r="O335" s="68"/>
      <c r="P335" s="66"/>
      <c r="Q335" s="67"/>
      <c r="R335" s="67"/>
      <c r="S335" s="67"/>
      <c r="T335" s="67"/>
      <c r="U335" s="67"/>
      <c r="V335" s="67"/>
      <c r="W335" s="67"/>
      <c r="X335" s="67"/>
      <c r="Y335" s="67"/>
      <c r="Z335" s="67"/>
      <c r="AA335" s="67"/>
      <c r="AB335" s="67"/>
      <c r="AC335" s="67"/>
      <c r="AD335" s="68"/>
    </row>
    <row r="336" spans="2:34" s="1" customFormat="1" x14ac:dyDescent="0.25" hidden="true">
      <c r="B336" s="66"/>
      <c r="C336" s="67"/>
      <c r="D336" s="67"/>
      <c r="E336" s="67"/>
      <c r="F336" s="67"/>
      <c r="G336" s="67"/>
      <c r="H336" s="67"/>
      <c r="I336" s="67"/>
      <c r="J336" s="67"/>
      <c r="K336" s="67"/>
      <c r="L336" s="67"/>
      <c r="M336" s="67"/>
      <c r="N336" s="67"/>
      <c r="O336" s="68"/>
      <c r="P336" s="66"/>
      <c r="Q336" s="67"/>
      <c r="R336" s="67"/>
      <c r="S336" s="67"/>
      <c r="T336" s="67"/>
      <c r="U336" s="67"/>
      <c r="V336" s="67"/>
      <c r="W336" s="67"/>
      <c r="X336" s="67"/>
      <c r="Y336" s="67"/>
      <c r="Z336" s="67"/>
      <c r="AA336" s="67"/>
      <c r="AB336" s="67"/>
      <c r="AC336" s="67"/>
      <c r="AD336" s="68"/>
    </row>
    <row r="337" spans="2:33" s="1" customFormat="1" x14ac:dyDescent="0.25" hidden="true">
      <c r="B337" s="69"/>
      <c r="C337" s="70"/>
      <c r="D337" s="70"/>
      <c r="E337" s="70"/>
      <c r="F337" s="70"/>
      <c r="G337" s="70"/>
      <c r="H337" s="70"/>
      <c r="I337" s="70"/>
      <c r="J337" s="70"/>
      <c r="K337" s="70"/>
      <c r="L337" s="70"/>
      <c r="M337" s="70"/>
      <c r="N337" s="70"/>
      <c r="O337" s="71"/>
      <c r="P337" s="69"/>
      <c r="Q337" s="70"/>
      <c r="R337" s="70"/>
      <c r="S337" s="70"/>
      <c r="T337" s="70"/>
      <c r="U337" s="70"/>
      <c r="V337" s="70"/>
      <c r="W337" s="70"/>
      <c r="X337" s="70"/>
      <c r="Y337" s="70"/>
      <c r="Z337" s="70"/>
      <c r="AA337" s="70"/>
      <c r="AB337" s="70"/>
      <c r="AC337" s="70"/>
      <c r="AD337" s="71"/>
    </row>
    <row r="338" spans="2:33" s="1" customFormat="1" x14ac:dyDescent="0.25" hidden="true">
      <c r="B338" s="60" t="s">
        <v>46</v>
      </c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2"/>
      <c r="P338" s="60" t="s">
        <v>47</v>
      </c>
      <c r="Q338" s="61"/>
      <c r="R338" s="61"/>
      <c r="S338" s="61"/>
      <c r="T338" s="61"/>
      <c r="U338" s="61"/>
      <c r="V338" s="61"/>
      <c r="W338" s="61"/>
      <c r="X338" s="61"/>
      <c r="Y338" s="61"/>
      <c r="Z338" s="61"/>
      <c r="AA338" s="61"/>
      <c r="AB338" s="61"/>
      <c r="AC338" s="61"/>
      <c r="AD338" s="62"/>
    </row>
    <row r="339" spans="2:33" s="1" customFormat="1" ht="15" customHeight="1" x14ac:dyDescent="0.25" hidden="true">
      <c r="B339" s="63" t="str">
        <f>AG322</f>
        <v/>
      </c>
      <c r="C339" s="64"/>
      <c r="D339" s="64"/>
      <c r="E339" s="64"/>
      <c r="F339" s="64"/>
      <c r="G339" s="64"/>
      <c r="H339" s="64"/>
      <c r="I339" s="64"/>
      <c r="J339" s="64"/>
      <c r="K339" s="64"/>
      <c r="L339" s="64"/>
      <c r="M339" s="64"/>
      <c r="N339" s="64"/>
      <c r="O339" s="65"/>
      <c r="P339" s="63" t="str">
        <f>AG323</f>
        <v/>
      </c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5"/>
    </row>
    <row r="340" spans="2:33" s="1" customFormat="1" ht="15" customHeight="1" x14ac:dyDescent="0.25" hidden="true">
      <c r="B340" s="66"/>
      <c r="C340" s="67"/>
      <c r="D340" s="67"/>
      <c r="E340" s="67"/>
      <c r="F340" s="67"/>
      <c r="G340" s="67"/>
      <c r="H340" s="67"/>
      <c r="I340" s="67"/>
      <c r="J340" s="67"/>
      <c r="K340" s="67"/>
      <c r="L340" s="67"/>
      <c r="M340" s="67"/>
      <c r="N340" s="67"/>
      <c r="O340" s="68"/>
      <c r="P340" s="66"/>
      <c r="Q340" s="67"/>
      <c r="R340" s="67"/>
      <c r="S340" s="67"/>
      <c r="T340" s="67"/>
      <c r="U340" s="67"/>
      <c r="V340" s="67"/>
      <c r="W340" s="67"/>
      <c r="X340" s="67"/>
      <c r="Y340" s="67"/>
      <c r="Z340" s="67"/>
      <c r="AA340" s="67"/>
      <c r="AB340" s="67"/>
      <c r="AC340" s="67"/>
      <c r="AD340" s="68"/>
    </row>
    <row r="341" spans="2:33" s="1" customFormat="1" x14ac:dyDescent="0.25" hidden="true">
      <c r="B341" s="69"/>
      <c r="C341" s="70"/>
      <c r="D341" s="70"/>
      <c r="E341" s="70"/>
      <c r="F341" s="70"/>
      <c r="G341" s="70"/>
      <c r="H341" s="70"/>
      <c r="I341" s="70"/>
      <c r="J341" s="70"/>
      <c r="K341" s="70"/>
      <c r="L341" s="70"/>
      <c r="M341" s="70"/>
      <c r="N341" s="70"/>
      <c r="O341" s="71"/>
      <c r="P341" s="69"/>
      <c r="Q341" s="70"/>
      <c r="R341" s="70"/>
      <c r="S341" s="70"/>
      <c r="T341" s="70"/>
      <c r="U341" s="70"/>
      <c r="V341" s="70"/>
      <c r="W341" s="70"/>
      <c r="X341" s="70"/>
      <c r="Y341" s="70"/>
      <c r="Z341" s="70"/>
      <c r="AA341" s="70"/>
      <c r="AB341" s="70"/>
      <c r="AC341" s="70"/>
      <c r="AD341" s="71"/>
      <c r="AF341"/>
      <c r="AG341"/>
    </row>
    <row r="342" spans="2:33" s="1" customFormat="1" ht="6.95" customHeight="1" x14ac:dyDescent="0.25" hidden="true"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F342"/>
    </row>
    <row r="343" spans="2:33" s="56" customFormat="1" x14ac:dyDescent="0.25" hidden="true">
      <c r="B343" s="59" t="s">
        <v>577</v>
      </c>
      <c r="C343" s="59"/>
      <c r="D343" s="59"/>
      <c r="E343" s="59"/>
      <c r="F343" s="59"/>
      <c r="G343" s="59"/>
      <c r="H343" s="59"/>
      <c r="I343" s="59" t="s">
        <v>577</v>
      </c>
      <c r="J343" s="59"/>
      <c r="K343" s="59"/>
      <c r="L343" s="59"/>
      <c r="M343" s="59"/>
      <c r="N343" s="59"/>
      <c r="O343" s="59"/>
      <c r="P343" s="59" t="s">
        <v>577</v>
      </c>
      <c r="Q343" s="59"/>
      <c r="R343" s="59"/>
      <c r="S343" s="59"/>
      <c r="T343" s="59"/>
      <c r="U343" s="59"/>
      <c r="V343" s="59"/>
      <c r="W343" s="59" t="s">
        <v>577</v>
      </c>
      <c r="X343" s="59"/>
      <c r="Y343" s="59"/>
      <c r="Z343" s="59"/>
      <c r="AA343" s="59"/>
      <c r="AB343" s="59"/>
      <c r="AC343" s="59"/>
      <c r="AD343" s="58"/>
    </row>
    <row r="344" spans="2:33" s="56" customFormat="1" x14ac:dyDescent="0.25" hidden="true">
      <c r="B344" s="59"/>
      <c r="C344" s="59"/>
      <c r="D344" s="59"/>
      <c r="E344" s="59"/>
      <c r="F344" s="59"/>
      <c r="G344" s="59"/>
      <c r="H344" s="59"/>
      <c r="I344" s="59"/>
      <c r="J344" s="59"/>
      <c r="K344" s="59"/>
      <c r="L344" s="59"/>
      <c r="M344" s="59"/>
      <c r="N344" s="59"/>
      <c r="O344" s="59"/>
      <c r="P344" s="59"/>
      <c r="Q344" s="59"/>
      <c r="R344" s="59"/>
      <c r="S344" s="59"/>
      <c r="T344" s="59"/>
      <c r="U344" s="59"/>
      <c r="V344" s="59"/>
      <c r="W344" s="59"/>
      <c r="X344" s="59"/>
      <c r="Y344" s="59"/>
      <c r="Z344" s="59"/>
      <c r="AA344" s="59"/>
      <c r="AB344" s="59"/>
      <c r="AC344" s="59"/>
      <c r="AD344" s="58"/>
    </row>
    <row r="345" spans="2:33" s="56" customFormat="1" x14ac:dyDescent="0.25" hidden="true">
      <c r="B345" s="59"/>
      <c r="C345" s="59"/>
      <c r="D345" s="59"/>
      <c r="E345" s="59"/>
      <c r="F345" s="59"/>
      <c r="G345" s="59"/>
      <c r="H345" s="59"/>
      <c r="I345" s="59"/>
      <c r="J345" s="59"/>
      <c r="K345" s="59"/>
      <c r="L345" s="59"/>
      <c r="M345" s="59"/>
      <c r="N345" s="59"/>
      <c r="O345" s="59"/>
      <c r="P345" s="59"/>
      <c r="Q345" s="59"/>
      <c r="R345" s="59"/>
      <c r="S345" s="59"/>
      <c r="T345" s="59"/>
      <c r="U345" s="59"/>
      <c r="V345" s="59"/>
      <c r="W345" s="59"/>
      <c r="X345" s="59"/>
      <c r="Y345" s="59"/>
      <c r="Z345" s="59"/>
      <c r="AA345" s="59"/>
      <c r="AB345" s="59"/>
      <c r="AC345" s="59"/>
      <c r="AD345" s="58"/>
    </row>
    <row r="346" spans="2:33" s="56" customFormat="1" x14ac:dyDescent="0.25" hidden="true">
      <c r="B346" s="59"/>
      <c r="C346" s="59"/>
      <c r="D346" s="59"/>
      <c r="E346" s="59"/>
      <c r="F346" s="59"/>
      <c r="G346" s="59"/>
      <c r="H346" s="59"/>
      <c r="I346" s="59"/>
      <c r="J346" s="59"/>
      <c r="K346" s="59"/>
      <c r="L346" s="59"/>
      <c r="M346" s="59"/>
      <c r="N346" s="59"/>
      <c r="O346" s="59"/>
      <c r="P346" s="59"/>
      <c r="Q346" s="59"/>
      <c r="R346" s="59"/>
      <c r="S346" s="59"/>
      <c r="T346" s="59"/>
      <c r="U346" s="59"/>
      <c r="V346" s="59"/>
      <c r="W346" s="59"/>
      <c r="X346" s="59"/>
      <c r="Y346" s="59"/>
      <c r="Z346" s="59"/>
      <c r="AA346" s="59"/>
      <c r="AB346" s="59"/>
      <c r="AC346" s="59"/>
      <c r="AD346" s="58"/>
    </row>
    <row r="347" spans="2:33" s="56" customFormat="1" x14ac:dyDescent="0.25" hidden="true">
      <c r="B347" s="59"/>
      <c r="C347" s="59"/>
      <c r="D347" s="59"/>
      <c r="E347" s="59"/>
      <c r="F347" s="59"/>
      <c r="G347" s="59"/>
      <c r="H347" s="59"/>
      <c r="I347" s="59"/>
      <c r="J347" s="59"/>
      <c r="K347" s="59"/>
      <c r="L347" s="59"/>
      <c r="M347" s="59"/>
      <c r="N347" s="59"/>
      <c r="O347" s="59"/>
      <c r="P347" s="59"/>
      <c r="Q347" s="59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58"/>
    </row>
    <row r="348" spans="2:33" s="56" customFormat="1" x14ac:dyDescent="0.25" hidden="true">
      <c r="B348" s="59"/>
      <c r="C348" s="59"/>
      <c r="D348" s="59"/>
      <c r="E348" s="59"/>
      <c r="F348" s="59"/>
      <c r="G348" s="59"/>
      <c r="H348" s="59"/>
      <c r="I348" s="59"/>
      <c r="J348" s="59"/>
      <c r="K348" s="59"/>
      <c r="L348" s="59"/>
      <c r="M348" s="59"/>
      <c r="N348" s="59"/>
      <c r="O348" s="59"/>
      <c r="P348" s="59"/>
      <c r="Q348" s="59"/>
      <c r="R348" s="59"/>
      <c r="S348" s="59"/>
      <c r="T348" s="59"/>
      <c r="U348" s="59"/>
      <c r="V348" s="59"/>
      <c r="W348" s="59"/>
      <c r="X348" s="59"/>
      <c r="Y348" s="59"/>
      <c r="Z348" s="59"/>
      <c r="AA348" s="59"/>
      <c r="AB348" s="59"/>
      <c r="AC348" s="59"/>
      <c r="AD348" s="58"/>
    </row>
    <row r="349" spans="2:33" s="44" customFormat="1" x14ac:dyDescent="0.25" hidden="true">
      <c r="B349" s="59"/>
      <c r="C349" s="59"/>
      <c r="D349" s="59"/>
      <c r="E349" s="59"/>
      <c r="F349" s="59"/>
      <c r="G349" s="59"/>
      <c r="H349" s="59"/>
      <c r="I349" s="59"/>
      <c r="J349" s="59"/>
      <c r="K349" s="59"/>
      <c r="L349" s="59"/>
      <c r="M349" s="59"/>
      <c r="N349" s="59"/>
      <c r="O349" s="59"/>
      <c r="P349" s="59"/>
      <c r="Q349" s="59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58"/>
    </row>
    <row r="350" spans="2:33" s="44" customFormat="1" x14ac:dyDescent="0.25" hidden="true">
      <c r="B350" s="59" t="s">
        <v>577</v>
      </c>
      <c r="C350" s="59"/>
      <c r="D350" s="59"/>
      <c r="E350" s="59"/>
      <c r="F350" s="59"/>
      <c r="G350" s="59"/>
      <c r="H350" s="59"/>
      <c r="I350" s="59" t="s">
        <v>577</v>
      </c>
      <c r="J350" s="59"/>
      <c r="K350" s="59"/>
      <c r="L350" s="59"/>
      <c r="M350" s="59"/>
      <c r="N350" s="59"/>
      <c r="O350" s="59"/>
      <c r="P350" s="59" t="s">
        <v>577</v>
      </c>
      <c r="Q350" s="59"/>
      <c r="R350" s="59"/>
      <c r="S350" s="59"/>
      <c r="T350" s="59"/>
      <c r="U350" s="59"/>
      <c r="V350" s="59"/>
      <c r="W350" s="59" t="s">
        <v>577</v>
      </c>
      <c r="X350" s="59"/>
      <c r="Y350" s="59"/>
      <c r="Z350" s="59"/>
      <c r="AA350" s="59"/>
      <c r="AB350" s="59"/>
      <c r="AC350" s="59"/>
      <c r="AD350" s="58"/>
    </row>
    <row r="351" spans="2:33" s="44" customFormat="1" x14ac:dyDescent="0.25" hidden="true">
      <c r="B351" s="59"/>
      <c r="C351" s="59"/>
      <c r="D351" s="59"/>
      <c r="E351" s="59"/>
      <c r="F351" s="59"/>
      <c r="G351" s="59"/>
      <c r="H351" s="59"/>
      <c r="I351" s="59"/>
      <c r="J351" s="59"/>
      <c r="K351" s="59"/>
      <c r="L351" s="59"/>
      <c r="M351" s="59"/>
      <c r="N351" s="59"/>
      <c r="O351" s="59"/>
      <c r="P351" s="59"/>
      <c r="Q351" s="59"/>
      <c r="R351" s="59"/>
      <c r="S351" s="59"/>
      <c r="T351" s="59"/>
      <c r="U351" s="59"/>
      <c r="V351" s="59"/>
      <c r="W351" s="59"/>
      <c r="X351" s="59"/>
      <c r="Y351" s="59"/>
      <c r="Z351" s="59"/>
      <c r="AA351" s="59"/>
      <c r="AB351" s="59"/>
      <c r="AC351" s="59"/>
      <c r="AD351" s="58"/>
    </row>
    <row r="352" spans="2:33" s="44" customFormat="1" x14ac:dyDescent="0.25" hidden="true">
      <c r="B352" s="59"/>
      <c r="C352" s="59"/>
      <c r="D352" s="59"/>
      <c r="E352" s="59"/>
      <c r="F352" s="59"/>
      <c r="G352" s="59"/>
      <c r="H352" s="59"/>
      <c r="I352" s="59"/>
      <c r="J352" s="59"/>
      <c r="K352" s="59"/>
      <c r="L352" s="59"/>
      <c r="M352" s="59"/>
      <c r="N352" s="59"/>
      <c r="O352" s="59"/>
      <c r="P352" s="59"/>
      <c r="Q352" s="59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58"/>
    </row>
    <row r="353" spans="2:34" s="44" customFormat="1" ht="6.95" customHeight="1" x14ac:dyDescent="0.25" hidden="true">
      <c r="B353" s="59"/>
      <c r="C353" s="59"/>
      <c r="D353" s="59"/>
      <c r="E353" s="59"/>
      <c r="F353" s="59"/>
      <c r="G353" s="59"/>
      <c r="H353" s="59"/>
      <c r="I353" s="59"/>
      <c r="J353" s="59"/>
      <c r="K353" s="59"/>
      <c r="L353" s="59"/>
      <c r="M353" s="59"/>
      <c r="N353" s="59"/>
      <c r="O353" s="59"/>
      <c r="P353" s="59"/>
      <c r="Q353" s="59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21"/>
    </row>
    <row r="354" spans="2:34" s="44" customFormat="1" x14ac:dyDescent="0.25" hidden="true">
      <c r="B354" s="59"/>
      <c r="C354" s="59"/>
      <c r="D354" s="59"/>
      <c r="E354" s="59"/>
      <c r="F354" s="59"/>
      <c r="G354" s="59"/>
      <c r="H354" s="59"/>
      <c r="I354" s="59"/>
      <c r="J354" s="59"/>
      <c r="K354" s="59"/>
      <c r="L354" s="59"/>
      <c r="M354" s="59"/>
      <c r="N354" s="59"/>
      <c r="O354" s="59"/>
      <c r="P354" s="59"/>
      <c r="Q354" s="59"/>
      <c r="R354" s="59"/>
      <c r="S354" s="59"/>
      <c r="T354" s="59"/>
      <c r="U354" s="59"/>
      <c r="V354" s="59"/>
      <c r="W354" s="59"/>
      <c r="X354" s="59"/>
      <c r="Y354" s="59"/>
      <c r="Z354" s="59"/>
      <c r="AA354" s="59"/>
      <c r="AB354" s="59"/>
      <c r="AC354" s="59"/>
      <c r="AD354" s="58"/>
    </row>
    <row r="355" spans="2:34" s="44" customFormat="1" x14ac:dyDescent="0.25" hidden="true">
      <c r="B355" s="59"/>
      <c r="C355" s="59"/>
      <c r="D355" s="59"/>
      <c r="E355" s="59"/>
      <c r="F355" s="59"/>
      <c r="G355" s="59"/>
      <c r="H355" s="59"/>
      <c r="I355" s="59"/>
      <c r="J355" s="59"/>
      <c r="K355" s="59"/>
      <c r="L355" s="59"/>
      <c r="M355" s="59"/>
      <c r="N355" s="59"/>
      <c r="O355" s="59"/>
      <c r="P355" s="59"/>
      <c r="Q355" s="59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58"/>
    </row>
    <row r="356" spans="2:34" s="44" customFormat="1" x14ac:dyDescent="0.25" hidden="true">
      <c r="B356" s="59"/>
      <c r="C356" s="59"/>
      <c r="D356" s="59"/>
      <c r="E356" s="59"/>
      <c r="F356" s="59"/>
      <c r="G356" s="59"/>
      <c r="H356" s="59"/>
      <c r="I356" s="59"/>
      <c r="J356" s="59"/>
      <c r="K356" s="59"/>
      <c r="L356" s="59"/>
      <c r="M356" s="59"/>
      <c r="N356" s="59"/>
      <c r="O356" s="59"/>
      <c r="P356" s="59"/>
      <c r="Q356" s="59"/>
      <c r="R356" s="59"/>
      <c r="S356" s="59"/>
      <c r="T356" s="59"/>
      <c r="U356" s="59"/>
      <c r="V356" s="59"/>
      <c r="W356" s="59"/>
      <c r="X356" s="59"/>
      <c r="Y356" s="59"/>
      <c r="Z356" s="59"/>
      <c r="AA356" s="59"/>
      <c r="AB356" s="59"/>
      <c r="AC356" s="59"/>
      <c r="AD356" s="58"/>
    </row>
    <row r="357" spans="2:34" s="44" customFormat="1" x14ac:dyDescent="0.25" hidden="true">
      <c r="B357" s="59" t="s">
        <v>577</v>
      </c>
      <c r="C357" s="59"/>
      <c r="D357" s="59"/>
      <c r="E357" s="59"/>
      <c r="F357" s="59"/>
      <c r="G357" s="59"/>
      <c r="H357" s="59"/>
      <c r="I357" s="59" t="s">
        <v>577</v>
      </c>
      <c r="J357" s="59"/>
      <c r="K357" s="59"/>
      <c r="L357" s="59"/>
      <c r="M357" s="59"/>
      <c r="N357" s="59"/>
      <c r="O357" s="59"/>
      <c r="P357" s="59" t="s">
        <v>577</v>
      </c>
      <c r="Q357" s="59"/>
      <c r="R357" s="59"/>
      <c r="S357" s="59"/>
      <c r="T357" s="59"/>
      <c r="U357" s="59"/>
      <c r="V357" s="59"/>
      <c r="W357" s="59" t="s">
        <v>577</v>
      </c>
      <c r="X357" s="59"/>
      <c r="Y357" s="59"/>
      <c r="Z357" s="59"/>
      <c r="AA357" s="59"/>
      <c r="AB357" s="59"/>
      <c r="AC357" s="59"/>
      <c r="AD357" s="58"/>
    </row>
    <row r="358" spans="2:34" s="44" customFormat="1" x14ac:dyDescent="0.25" hidden="true">
      <c r="B358" s="59"/>
      <c r="C358" s="59"/>
      <c r="D358" s="59"/>
      <c r="E358" s="59"/>
      <c r="F358" s="59"/>
      <c r="G358" s="59"/>
      <c r="H358" s="59"/>
      <c r="I358" s="59"/>
      <c r="J358" s="59"/>
      <c r="K358" s="59"/>
      <c r="L358" s="59"/>
      <c r="M358" s="59"/>
      <c r="N358" s="59"/>
      <c r="O358" s="59"/>
      <c r="P358" s="59"/>
      <c r="Q358" s="59"/>
      <c r="R358" s="59"/>
      <c r="S358" s="59"/>
      <c r="T358" s="59"/>
      <c r="U358" s="59"/>
      <c r="V358" s="59"/>
      <c r="W358" s="59"/>
      <c r="X358" s="59"/>
      <c r="Y358" s="59"/>
      <c r="Z358" s="59"/>
      <c r="AA358" s="59"/>
      <c r="AB358" s="59"/>
      <c r="AC358" s="59"/>
      <c r="AD358" s="58"/>
    </row>
    <row r="359" spans="2:34" s="44" customFormat="1" x14ac:dyDescent="0.25" hidden="true">
      <c r="B359" s="59"/>
      <c r="C359" s="59"/>
      <c r="D359" s="59"/>
      <c r="E359" s="59"/>
      <c r="F359" s="59"/>
      <c r="G359" s="59"/>
      <c r="H359" s="59"/>
      <c r="I359" s="59"/>
      <c r="J359" s="59"/>
      <c r="K359" s="59"/>
      <c r="L359" s="59"/>
      <c r="M359" s="59"/>
      <c r="N359" s="59"/>
      <c r="O359" s="59"/>
      <c r="P359" s="59"/>
      <c r="Q359" s="59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58"/>
    </row>
    <row r="360" spans="2:34" s="44" customFormat="1" x14ac:dyDescent="0.25" hidden="true">
      <c r="B360" s="59"/>
      <c r="C360" s="59"/>
      <c r="D360" s="59"/>
      <c r="E360" s="59"/>
      <c r="F360" s="59"/>
      <c r="G360" s="59"/>
      <c r="H360" s="59"/>
      <c r="I360" s="59"/>
      <c r="J360" s="59"/>
      <c r="K360" s="59"/>
      <c r="L360" s="59"/>
      <c r="M360" s="59"/>
      <c r="N360" s="59"/>
      <c r="O360" s="59"/>
      <c r="P360" s="59"/>
      <c r="Q360" s="59"/>
      <c r="R360" s="59"/>
      <c r="S360" s="59"/>
      <c r="T360" s="59"/>
      <c r="U360" s="59"/>
      <c r="V360" s="59"/>
      <c r="W360" s="59"/>
      <c r="X360" s="59"/>
      <c r="Y360" s="59"/>
      <c r="Z360" s="59"/>
      <c r="AA360" s="59"/>
      <c r="AB360" s="59"/>
      <c r="AC360" s="59"/>
      <c r="AD360" s="58"/>
    </row>
    <row r="361" spans="2:34" s="44" customFormat="1" x14ac:dyDescent="0.25" hidden="true">
      <c r="B361" s="59"/>
      <c r="C361" s="59"/>
      <c r="D361" s="59"/>
      <c r="E361" s="59"/>
      <c r="F361" s="59"/>
      <c r="G361" s="59"/>
      <c r="H361" s="59"/>
      <c r="I361" s="59"/>
      <c r="J361" s="59"/>
      <c r="K361" s="59"/>
      <c r="L361" s="59"/>
      <c r="M361" s="59"/>
      <c r="N361" s="59"/>
      <c r="O361" s="59"/>
      <c r="P361" s="59"/>
      <c r="Q361" s="59"/>
      <c r="R361" s="59"/>
      <c r="S361" s="59"/>
      <c r="T361" s="59"/>
      <c r="U361" s="59"/>
      <c r="V361" s="59"/>
      <c r="W361" s="59"/>
      <c r="X361" s="59"/>
      <c r="Y361" s="59"/>
      <c r="Z361" s="59"/>
      <c r="AA361" s="59"/>
      <c r="AB361" s="59"/>
      <c r="AC361" s="59"/>
      <c r="AD361" s="58"/>
    </row>
    <row r="362" spans="2:34" s="44" customFormat="1" x14ac:dyDescent="0.25" hidden="true">
      <c r="B362" s="59"/>
      <c r="C362" s="59"/>
      <c r="D362" s="59"/>
      <c r="E362" s="59"/>
      <c r="F362" s="59"/>
      <c r="G362" s="59"/>
      <c r="H362" s="59"/>
      <c r="I362" s="59"/>
      <c r="J362" s="59"/>
      <c r="K362" s="59"/>
      <c r="L362" s="59"/>
      <c r="M362" s="59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58"/>
    </row>
    <row r="363" spans="2:34" s="44" customFormat="1" x14ac:dyDescent="0.25" hidden="true">
      <c r="B363" s="59"/>
      <c r="C363" s="59"/>
      <c r="D363" s="59"/>
      <c r="E363" s="59"/>
      <c r="F363" s="59"/>
      <c r="G363" s="59"/>
      <c r="H363" s="59"/>
      <c r="I363" s="59"/>
      <c r="J363" s="59"/>
      <c r="K363" s="59"/>
      <c r="L363" s="59"/>
      <c r="M363" s="59"/>
      <c r="N363" s="59"/>
      <c r="O363" s="59"/>
      <c r="P363" s="59"/>
      <c r="Q363" s="59"/>
      <c r="R363" s="59"/>
      <c r="S363" s="59"/>
      <c r="T363" s="59"/>
      <c r="U363" s="59"/>
      <c r="V363" s="59"/>
      <c r="W363" s="59"/>
      <c r="X363" s="59"/>
      <c r="Y363" s="59"/>
      <c r="Z363" s="59"/>
      <c r="AA363" s="59"/>
      <c r="AB363" s="59"/>
      <c r="AC363" s="59"/>
      <c r="AD363" s="58"/>
    </row>
    <row r="364" spans="2:34" s="1" customFormat="1" x14ac:dyDescent="0.25" hidden="true">
      <c r="B364" s="85" t="s">
        <v>223</v>
      </c>
      <c r="C364" s="85"/>
      <c r="D364" s="85"/>
      <c r="E364" s="85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  <c r="S364" s="86"/>
      <c r="T364" s="85" t="s">
        <v>41</v>
      </c>
      <c r="U364" s="85"/>
      <c r="V364" s="85"/>
      <c r="W364" s="85"/>
      <c r="X364" s="85"/>
      <c r="Y364" s="85"/>
      <c r="Z364" s="85"/>
      <c r="AA364" s="85"/>
      <c r="AB364" s="85"/>
      <c r="AC364" s="86"/>
      <c r="AD364" s="86"/>
    </row>
    <row r="365" spans="2:34" s="1" customFormat="1" ht="15" customHeight="1" x14ac:dyDescent="0.25" hidden="true">
      <c r="B365" s="83"/>
      <c r="C365" s="83"/>
      <c r="D365" s="83"/>
      <c r="E365" s="83"/>
      <c r="F365" s="83"/>
      <c r="G365" s="83"/>
      <c r="H365" s="83"/>
      <c r="I365" s="83"/>
      <c r="J365" s="83"/>
      <c r="K365" s="83"/>
      <c r="L365" s="83"/>
      <c r="M365" s="83"/>
      <c r="N365" s="83"/>
      <c r="O365" s="83"/>
      <c r="P365" s="83"/>
      <c r="Q365" s="83"/>
      <c r="R365" s="83"/>
      <c r="S365" s="83"/>
      <c r="T365" s="83"/>
      <c r="U365" s="83"/>
      <c r="V365" s="83"/>
      <c r="W365" s="83"/>
      <c r="X365" s="83"/>
      <c r="Y365" s="83"/>
      <c r="Z365" s="83"/>
      <c r="AA365" s="83"/>
      <c r="AB365" s="83"/>
      <c r="AC365" s="83"/>
      <c r="AD365" s="83"/>
      <c r="AG365" s="1" t="str">
        <f>SUBSTITUTE(AH365,",","; ")</f>
        <v/>
      </c>
      <c r="AH365" s="1"/>
    </row>
    <row r="366" spans="2:34" s="1" customFormat="1" x14ac:dyDescent="0.25" hidden="true">
      <c r="B366" s="83"/>
      <c r="C366" s="83"/>
      <c r="D366" s="83"/>
      <c r="E366" s="83"/>
      <c r="F366" s="83"/>
      <c r="G366" s="83"/>
      <c r="H366" s="83"/>
      <c r="I366" s="83"/>
      <c r="J366" s="83"/>
      <c r="K366" s="83"/>
      <c r="L366" s="83"/>
      <c r="M366" s="83"/>
      <c r="N366" s="83"/>
      <c r="O366" s="83"/>
      <c r="P366" s="83"/>
      <c r="Q366" s="83"/>
      <c r="R366" s="83"/>
      <c r="S366" s="83"/>
      <c r="T366" s="83"/>
      <c r="U366" s="83"/>
      <c r="V366" s="83"/>
      <c r="W366" s="83"/>
      <c r="X366" s="83"/>
      <c r="Y366" s="83"/>
      <c r="Z366" s="83"/>
      <c r="AA366" s="83"/>
      <c r="AB366" s="83"/>
      <c r="AC366" s="83"/>
      <c r="AD366" s="83"/>
      <c r="AG366" s="1" t="str">
        <f t="shared" ref="AG366:AG374" si="7">SUBSTITUTE(AH366,",","; ")</f>
        <v/>
      </c>
      <c r="AH366" s="1"/>
    </row>
    <row r="367" spans="2:34" s="1" customFormat="1" ht="7.5" customHeight="1" x14ac:dyDescent="0.25" hidden="true"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V367" s="2"/>
      <c r="W367" s="2"/>
      <c r="X367" s="2"/>
      <c r="Y367" s="2"/>
      <c r="Z367" s="2"/>
      <c r="AA367" s="2"/>
      <c r="AB367" s="2"/>
      <c r="AC367" s="2"/>
      <c r="AG367" s="1" t="str">
        <f t="shared" si="7"/>
        <v/>
      </c>
    </row>
    <row r="368" spans="2:34" s="1" customFormat="1" x14ac:dyDescent="0.25" hidden="true">
      <c r="B368" s="80"/>
      <c r="C368" s="81"/>
      <c r="D368" s="81"/>
      <c r="E368" s="81"/>
      <c r="F368" s="81"/>
      <c r="G368" s="81"/>
      <c r="H368" s="81"/>
      <c r="I368" s="81"/>
      <c r="J368" s="81"/>
      <c r="K368" s="82"/>
      <c r="L368" s="80"/>
      <c r="M368" s="81"/>
      <c r="N368" s="81"/>
      <c r="O368" s="81"/>
      <c r="P368" s="81"/>
      <c r="Q368" s="81"/>
      <c r="R368" s="81"/>
      <c r="S368" s="81"/>
      <c r="T368" s="81"/>
      <c r="U368" s="82"/>
      <c r="V368" s="80"/>
      <c r="W368" s="81"/>
      <c r="X368" s="81"/>
      <c r="Y368" s="81"/>
      <c r="Z368" s="81"/>
      <c r="AA368" s="81"/>
      <c r="AB368" s="81"/>
      <c r="AC368" s="81"/>
      <c r="AD368" s="82"/>
      <c r="AG368" s="1" t="str">
        <f t="shared" si="7"/>
        <v/>
      </c>
      <c r="AH368" s="1"/>
    </row>
    <row r="369" spans="2:34" s="1" customFormat="1" x14ac:dyDescent="0.25" hidden="true">
      <c r="B369" s="72" t="s">
        <v>42</v>
      </c>
      <c r="C369" s="73"/>
      <c r="D369" s="73"/>
      <c r="E369" s="73"/>
      <c r="F369" s="73"/>
      <c r="G369" s="73"/>
      <c r="H369" s="73"/>
      <c r="I369" s="74"/>
      <c r="J369" s="74"/>
      <c r="K369" s="32"/>
      <c r="L369" s="72" t="s">
        <v>42</v>
      </c>
      <c r="M369" s="73"/>
      <c r="N369" s="73"/>
      <c r="O369" s="73"/>
      <c r="P369" s="73"/>
      <c r="Q369" s="73"/>
      <c r="R369" s="73"/>
      <c r="S369" s="74"/>
      <c r="T369" s="74"/>
      <c r="U369" s="31"/>
      <c r="V369" s="30" t="s">
        <v>42</v>
      </c>
      <c r="W369" s="30"/>
      <c r="X369" s="30"/>
      <c r="Y369" s="30"/>
      <c r="Z369" s="30"/>
      <c r="AA369" s="30"/>
      <c r="AB369" s="55"/>
      <c r="AC369" s="74"/>
      <c r="AD369" s="84"/>
      <c r="AG369" s="1" t="str">
        <f t="shared" si="7"/>
        <v/>
      </c>
      <c r="AH369" s="1"/>
    </row>
    <row r="370" spans="2:34" s="1" customFormat="1" ht="15" customHeight="1" x14ac:dyDescent="0.25" hidden="true">
      <c r="B370" s="77" t="s">
        <v>43</v>
      </c>
      <c r="C370" s="78"/>
      <c r="D370" s="78"/>
      <c r="E370" s="78"/>
      <c r="F370" s="78"/>
      <c r="G370" s="78"/>
      <c r="H370" s="78"/>
      <c r="I370" s="78"/>
      <c r="J370" s="78"/>
      <c r="K370" s="79"/>
      <c r="L370" s="77" t="s">
        <v>43</v>
      </c>
      <c r="M370" s="78"/>
      <c r="N370" s="78"/>
      <c r="O370" s="78"/>
      <c r="P370" s="78"/>
      <c r="Q370" s="78"/>
      <c r="R370" s="78"/>
      <c r="S370" s="78"/>
      <c r="T370" s="78"/>
      <c r="U370" s="79"/>
      <c r="V370" s="77" t="s">
        <v>43</v>
      </c>
      <c r="W370" s="78"/>
      <c r="X370" s="78"/>
      <c r="Y370" s="78"/>
      <c r="Z370" s="78"/>
      <c r="AA370" s="78"/>
      <c r="AB370" s="78"/>
      <c r="AC370" s="78"/>
      <c r="AD370" s="79"/>
      <c r="AG370" s="1" t="str">
        <f t="shared" si="7"/>
        <v/>
      </c>
      <c r="AH370" s="1"/>
    </row>
    <row r="371" spans="2:34" s="1" customFormat="1" ht="15" customHeight="1" x14ac:dyDescent="0.25" hidden="true">
      <c r="B371" s="66" t="str">
        <f>AG365</f>
        <v/>
      </c>
      <c r="C371" s="67"/>
      <c r="D371" s="67"/>
      <c r="E371" s="67"/>
      <c r="F371" s="67"/>
      <c r="G371" s="67"/>
      <c r="H371" s="67"/>
      <c r="I371" s="67"/>
      <c r="J371" s="67"/>
      <c r="K371" s="68"/>
      <c r="L371" s="66" t="str">
        <f>AG366</f>
        <v/>
      </c>
      <c r="M371" s="67"/>
      <c r="N371" s="67"/>
      <c r="O371" s="67"/>
      <c r="P371" s="67"/>
      <c r="Q371" s="67"/>
      <c r="R371" s="67"/>
      <c r="S371" s="67"/>
      <c r="T371" s="67"/>
      <c r="U371" s="68"/>
      <c r="V371" s="66" t="str">
        <f>AG368</f>
        <v/>
      </c>
      <c r="W371" s="67"/>
      <c r="X371" s="67"/>
      <c r="Y371" s="67"/>
      <c r="Z371" s="67"/>
      <c r="AA371" s="67"/>
      <c r="AB371" s="67"/>
      <c r="AC371" s="67"/>
      <c r="AD371" s="68"/>
      <c r="AG371" s="1" t="str">
        <f t="shared" si="7"/>
        <v/>
      </c>
      <c r="AH371" s="1"/>
    </row>
    <row r="372" spans="2:34" s="1" customFormat="1" x14ac:dyDescent="0.25" hidden="true">
      <c r="B372" s="66"/>
      <c r="C372" s="67"/>
      <c r="D372" s="67"/>
      <c r="E372" s="67"/>
      <c r="F372" s="67"/>
      <c r="G372" s="67"/>
      <c r="H372" s="67"/>
      <c r="I372" s="67"/>
      <c r="J372" s="67"/>
      <c r="K372" s="68"/>
      <c r="L372" s="66"/>
      <c r="M372" s="67"/>
      <c r="N372" s="67"/>
      <c r="O372" s="67"/>
      <c r="P372" s="67"/>
      <c r="Q372" s="67"/>
      <c r="R372" s="67"/>
      <c r="S372" s="67"/>
      <c r="T372" s="67"/>
      <c r="U372" s="68"/>
      <c r="V372" s="66"/>
      <c r="W372" s="67"/>
      <c r="X372" s="67"/>
      <c r="Y372" s="67"/>
      <c r="Z372" s="67"/>
      <c r="AA372" s="67"/>
      <c r="AB372" s="67"/>
      <c r="AC372" s="67"/>
      <c r="AD372" s="68"/>
      <c r="AG372" s="1" t="str">
        <f t="shared" si="7"/>
        <v/>
      </c>
      <c r="AH372" s="1"/>
    </row>
    <row r="373" spans="2:34" s="1" customFormat="1" x14ac:dyDescent="0.25" hidden="true">
      <c r="B373" s="66"/>
      <c r="C373" s="67"/>
      <c r="D373" s="67"/>
      <c r="E373" s="67"/>
      <c r="F373" s="67"/>
      <c r="G373" s="67"/>
      <c r="H373" s="67"/>
      <c r="I373" s="67"/>
      <c r="J373" s="67"/>
      <c r="K373" s="68"/>
      <c r="L373" s="66"/>
      <c r="M373" s="67"/>
      <c r="N373" s="67"/>
      <c r="O373" s="67"/>
      <c r="P373" s="67"/>
      <c r="Q373" s="67"/>
      <c r="R373" s="67"/>
      <c r="S373" s="67"/>
      <c r="T373" s="67"/>
      <c r="U373" s="68"/>
      <c r="V373" s="66"/>
      <c r="W373" s="67"/>
      <c r="X373" s="67"/>
      <c r="Y373" s="67"/>
      <c r="Z373" s="67"/>
      <c r="AA373" s="67"/>
      <c r="AB373" s="67"/>
      <c r="AC373" s="67"/>
      <c r="AD373" s="68"/>
      <c r="AG373" s="1" t="str">
        <f t="shared" si="7"/>
        <v/>
      </c>
      <c r="AH373" s="57"/>
    </row>
    <row r="374" spans="2:34" s="1" customFormat="1" x14ac:dyDescent="0.25" hidden="true">
      <c r="B374" s="66"/>
      <c r="C374" s="67"/>
      <c r="D374" s="67"/>
      <c r="E374" s="67"/>
      <c r="F374" s="67"/>
      <c r="G374" s="67"/>
      <c r="H374" s="67"/>
      <c r="I374" s="67"/>
      <c r="J374" s="67"/>
      <c r="K374" s="68"/>
      <c r="L374" s="66"/>
      <c r="M374" s="67"/>
      <c r="N374" s="67"/>
      <c r="O374" s="67"/>
      <c r="P374" s="67"/>
      <c r="Q374" s="67"/>
      <c r="R374" s="67"/>
      <c r="S374" s="67"/>
      <c r="T374" s="67"/>
      <c r="U374" s="68"/>
      <c r="V374" s="66"/>
      <c r="W374" s="67"/>
      <c r="X374" s="67"/>
      <c r="Y374" s="67"/>
      <c r="Z374" s="67"/>
      <c r="AA374" s="67"/>
      <c r="AB374" s="67"/>
      <c r="AC374" s="67"/>
      <c r="AD374" s="68"/>
      <c r="AG374" s="1" t="str">
        <f t="shared" si="7"/>
        <v/>
      </c>
      <c r="AH374" s="57"/>
    </row>
    <row r="375" spans="2:34" s="1" customFormat="1" ht="6.95" customHeight="1" x14ac:dyDescent="0.25" hidden="true">
      <c r="B375" s="69"/>
      <c r="C375" s="70"/>
      <c r="D375" s="70"/>
      <c r="E375" s="70"/>
      <c r="F375" s="70"/>
      <c r="G375" s="70"/>
      <c r="H375" s="70"/>
      <c r="I375" s="70"/>
      <c r="J375" s="70"/>
      <c r="K375" s="71"/>
      <c r="L375" s="69"/>
      <c r="M375" s="70"/>
      <c r="N375" s="70"/>
      <c r="O375" s="70"/>
      <c r="P375" s="70"/>
      <c r="Q375" s="70"/>
      <c r="R375" s="70"/>
      <c r="S375" s="70"/>
      <c r="T375" s="70"/>
      <c r="U375" s="71"/>
      <c r="V375" s="69"/>
      <c r="W375" s="70"/>
      <c r="X375" s="70"/>
      <c r="Y375" s="70"/>
      <c r="Z375" s="70"/>
      <c r="AA375" s="70"/>
      <c r="AB375" s="70"/>
      <c r="AC375" s="70"/>
      <c r="AD375" s="71"/>
    </row>
    <row r="376" spans="2:34" s="1" customFormat="1" x14ac:dyDescent="0.25" hidden="true">
      <c r="B376" s="80"/>
      <c r="C376" s="81"/>
      <c r="D376" s="81"/>
      <c r="E376" s="81"/>
      <c r="F376" s="81"/>
      <c r="G376" s="81"/>
      <c r="H376" s="81"/>
      <c r="I376" s="81"/>
      <c r="J376" s="81"/>
      <c r="K376" s="82"/>
      <c r="L376" s="80"/>
      <c r="M376" s="81"/>
      <c r="N376" s="81"/>
      <c r="O376" s="81"/>
      <c r="P376" s="81"/>
      <c r="Q376" s="81"/>
      <c r="R376" s="81"/>
      <c r="S376" s="81"/>
      <c r="T376" s="81"/>
      <c r="U376" s="81"/>
      <c r="V376" s="81"/>
      <c r="W376" s="81"/>
      <c r="X376" s="81"/>
      <c r="Y376" s="81"/>
      <c r="Z376" s="81"/>
      <c r="AA376" s="81"/>
      <c r="AB376" s="81"/>
      <c r="AC376" s="81"/>
      <c r="AD376" s="82"/>
    </row>
    <row r="377" spans="2:34" s="1" customFormat="1" x14ac:dyDescent="0.25" hidden="true">
      <c r="B377" s="72" t="s">
        <v>42</v>
      </c>
      <c r="C377" s="73"/>
      <c r="D377" s="73"/>
      <c r="E377" s="73"/>
      <c r="F377" s="73"/>
      <c r="G377" s="73"/>
      <c r="H377" s="73"/>
      <c r="I377" s="74"/>
      <c r="J377" s="74"/>
      <c r="K377" s="32"/>
      <c r="L377" s="72" t="s">
        <v>42</v>
      </c>
      <c r="M377" s="73"/>
      <c r="N377" s="73"/>
      <c r="O377" s="73"/>
      <c r="P377" s="73"/>
      <c r="Q377" s="73"/>
      <c r="R377" s="73"/>
      <c r="S377" s="74"/>
      <c r="T377" s="74"/>
      <c r="U377" s="28"/>
      <c r="V377" s="35"/>
      <c r="W377" s="35"/>
      <c r="X377" s="35"/>
      <c r="Y377" s="35"/>
      <c r="Z377" s="35"/>
      <c r="AA377" s="35"/>
      <c r="AB377" s="35"/>
      <c r="AC377" s="75"/>
      <c r="AD377" s="76"/>
    </row>
    <row r="378" spans="2:34" s="1" customFormat="1" ht="15" customHeight="1" x14ac:dyDescent="0.25" hidden="true">
      <c r="B378" s="77" t="s">
        <v>43</v>
      </c>
      <c r="C378" s="78"/>
      <c r="D378" s="78"/>
      <c r="E378" s="78"/>
      <c r="F378" s="78"/>
      <c r="G378" s="78"/>
      <c r="H378" s="78"/>
      <c r="I378" s="78"/>
      <c r="J378" s="78"/>
      <c r="K378" s="79"/>
      <c r="L378" s="77" t="s">
        <v>43</v>
      </c>
      <c r="M378" s="78"/>
      <c r="N378" s="78"/>
      <c r="O378" s="78"/>
      <c r="P378" s="78"/>
      <c r="Q378" s="78"/>
      <c r="R378" s="78"/>
      <c r="S378" s="78"/>
      <c r="T378" s="78"/>
      <c r="U378" s="78"/>
      <c r="V378" s="78"/>
      <c r="W378" s="78"/>
      <c r="X378" s="78"/>
      <c r="Y378" s="78"/>
      <c r="Z378" s="78"/>
      <c r="AA378" s="78"/>
      <c r="AB378" s="78"/>
      <c r="AC378" s="78"/>
      <c r="AD378" s="79"/>
    </row>
    <row r="379" spans="2:34" s="1" customFormat="1" ht="15" customHeight="1" x14ac:dyDescent="0.25" hidden="true">
      <c r="B379" s="66" t="str">
        <f>AG369</f>
        <v/>
      </c>
      <c r="C379" s="67"/>
      <c r="D379" s="67"/>
      <c r="E379" s="67"/>
      <c r="F379" s="67"/>
      <c r="G379" s="67"/>
      <c r="H379" s="67"/>
      <c r="I379" s="67"/>
      <c r="J379" s="67"/>
      <c r="K379" s="68"/>
      <c r="L379" s="66" t="str">
        <f>AG370</f>
        <v/>
      </c>
      <c r="M379" s="67"/>
      <c r="N379" s="67"/>
      <c r="O379" s="67"/>
      <c r="P379" s="67"/>
      <c r="Q379" s="67"/>
      <c r="R379" s="67"/>
      <c r="S379" s="67"/>
      <c r="T379" s="67"/>
      <c r="U379" s="67"/>
      <c r="V379" s="67"/>
      <c r="W379" s="67"/>
      <c r="X379" s="67"/>
      <c r="Y379" s="67"/>
      <c r="Z379" s="67"/>
      <c r="AA379" s="67"/>
      <c r="AB379" s="67"/>
      <c r="AC379" s="67"/>
      <c r="AD379" s="68"/>
    </row>
    <row r="380" spans="2:34" s="1" customFormat="1" x14ac:dyDescent="0.25" hidden="true">
      <c r="B380" s="66"/>
      <c r="C380" s="67"/>
      <c r="D380" s="67"/>
      <c r="E380" s="67"/>
      <c r="F380" s="67"/>
      <c r="G380" s="67"/>
      <c r="H380" s="67"/>
      <c r="I380" s="67"/>
      <c r="J380" s="67"/>
      <c r="K380" s="68"/>
      <c r="L380" s="66"/>
      <c r="M380" s="67"/>
      <c r="N380" s="67"/>
      <c r="O380" s="67"/>
      <c r="P380" s="67"/>
      <c r="Q380" s="67"/>
      <c r="R380" s="67"/>
      <c r="S380" s="67"/>
      <c r="T380" s="67"/>
      <c r="U380" s="67"/>
      <c r="V380" s="67"/>
      <c r="W380" s="67"/>
      <c r="X380" s="67"/>
      <c r="Y380" s="67"/>
      <c r="Z380" s="67"/>
      <c r="AA380" s="67"/>
      <c r="AB380" s="67"/>
      <c r="AC380" s="67"/>
      <c r="AD380" s="68"/>
    </row>
    <row r="381" spans="2:34" s="1" customFormat="1" x14ac:dyDescent="0.25" hidden="true">
      <c r="B381" s="66"/>
      <c r="C381" s="67"/>
      <c r="D381" s="67"/>
      <c r="E381" s="67"/>
      <c r="F381" s="67"/>
      <c r="G381" s="67"/>
      <c r="H381" s="67"/>
      <c r="I381" s="67"/>
      <c r="J381" s="67"/>
      <c r="K381" s="68"/>
      <c r="L381" s="66"/>
      <c r="M381" s="67"/>
      <c r="N381" s="67"/>
      <c r="O381" s="67"/>
      <c r="P381" s="67"/>
      <c r="Q381" s="67"/>
      <c r="R381" s="67"/>
      <c r="S381" s="67"/>
      <c r="T381" s="67"/>
      <c r="U381" s="67"/>
      <c r="V381" s="67"/>
      <c r="W381" s="67"/>
      <c r="X381" s="67"/>
      <c r="Y381" s="67"/>
      <c r="Z381" s="67"/>
      <c r="AA381" s="67"/>
      <c r="AB381" s="67"/>
      <c r="AC381" s="67"/>
      <c r="AD381" s="68"/>
    </row>
    <row r="382" spans="2:34" s="1" customFormat="1" x14ac:dyDescent="0.25" hidden="true">
      <c r="B382" s="66"/>
      <c r="C382" s="67"/>
      <c r="D382" s="67"/>
      <c r="E382" s="67"/>
      <c r="F382" s="67"/>
      <c r="G382" s="67"/>
      <c r="H382" s="67"/>
      <c r="I382" s="67"/>
      <c r="J382" s="67"/>
      <c r="K382" s="68"/>
      <c r="L382" s="66"/>
      <c r="M382" s="67"/>
      <c r="N382" s="67"/>
      <c r="O382" s="67"/>
      <c r="P382" s="67"/>
      <c r="Q382" s="67"/>
      <c r="R382" s="67"/>
      <c r="S382" s="67"/>
      <c r="T382" s="67"/>
      <c r="U382" s="67"/>
      <c r="V382" s="67"/>
      <c r="W382" s="67"/>
      <c r="X382" s="67"/>
      <c r="Y382" s="67"/>
      <c r="Z382" s="67"/>
      <c r="AA382" s="67"/>
      <c r="AB382" s="67"/>
      <c r="AC382" s="67"/>
      <c r="AD382" s="68"/>
    </row>
    <row r="383" spans="2:34" s="1" customFormat="1" ht="6.95" customHeight="1" x14ac:dyDescent="0.25" hidden="true">
      <c r="B383" s="69"/>
      <c r="C383" s="70"/>
      <c r="D383" s="70"/>
      <c r="E383" s="70"/>
      <c r="F383" s="70"/>
      <c r="G383" s="70"/>
      <c r="H383" s="70"/>
      <c r="I383" s="70"/>
      <c r="J383" s="70"/>
      <c r="K383" s="71"/>
      <c r="L383" s="69"/>
      <c r="M383" s="70"/>
      <c r="N383" s="70"/>
      <c r="O383" s="70"/>
      <c r="P383" s="70"/>
      <c r="Q383" s="70"/>
      <c r="R383" s="70"/>
      <c r="S383" s="70"/>
      <c r="T383" s="70"/>
      <c r="U383" s="70"/>
      <c r="V383" s="70"/>
      <c r="W383" s="70"/>
      <c r="X383" s="70"/>
      <c r="Y383" s="70"/>
      <c r="Z383" s="70"/>
      <c r="AA383" s="70"/>
      <c r="AB383" s="70"/>
      <c r="AC383" s="70"/>
      <c r="AD383" s="71"/>
    </row>
    <row r="384" spans="2:34" s="1" customFormat="1" x14ac:dyDescent="0.25" hidden="true">
      <c r="B384" s="60" t="s">
        <v>44</v>
      </c>
      <c r="C384" s="61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2"/>
      <c r="P384" s="60" t="s">
        <v>45</v>
      </c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2"/>
    </row>
    <row r="385" spans="2:33" s="1" customFormat="1" ht="15" customHeight="1" x14ac:dyDescent="0.25" hidden="true">
      <c r="B385" s="63" t="str">
        <f>AG371</f>
        <v/>
      </c>
      <c r="C385" s="64"/>
      <c r="D385" s="64"/>
      <c r="E385" s="64"/>
      <c r="F385" s="64"/>
      <c r="G385" s="64"/>
      <c r="H385" s="64"/>
      <c r="I385" s="64"/>
      <c r="J385" s="64"/>
      <c r="K385" s="64"/>
      <c r="L385" s="64"/>
      <c r="M385" s="64"/>
      <c r="N385" s="64"/>
      <c r="O385" s="65"/>
      <c r="P385" s="63" t="str">
        <f>AG372</f>
        <v/>
      </c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5"/>
    </row>
    <row r="386" spans="2:33" s="1" customFormat="1" ht="15" customHeight="1" x14ac:dyDescent="0.25" hidden="true">
      <c r="B386" s="66"/>
      <c r="C386" s="67"/>
      <c r="D386" s="67"/>
      <c r="E386" s="67"/>
      <c r="F386" s="67"/>
      <c r="G386" s="67"/>
      <c r="H386" s="67"/>
      <c r="I386" s="67"/>
      <c r="J386" s="67"/>
      <c r="K386" s="67"/>
      <c r="L386" s="67"/>
      <c r="M386" s="67"/>
      <c r="N386" s="67"/>
      <c r="O386" s="68"/>
      <c r="P386" s="66"/>
      <c r="Q386" s="67"/>
      <c r="R386" s="67"/>
      <c r="S386" s="67"/>
      <c r="T386" s="67"/>
      <c r="U386" s="67"/>
      <c r="V386" s="67"/>
      <c r="W386" s="67"/>
      <c r="X386" s="67"/>
      <c r="Y386" s="67"/>
      <c r="Z386" s="67"/>
      <c r="AA386" s="67"/>
      <c r="AB386" s="67"/>
      <c r="AC386" s="67"/>
      <c r="AD386" s="68"/>
    </row>
    <row r="387" spans="2:33" s="1" customFormat="1" x14ac:dyDescent="0.25" hidden="true">
      <c r="B387" s="66"/>
      <c r="C387" s="67"/>
      <c r="D387" s="67"/>
      <c r="E387" s="67"/>
      <c r="F387" s="67"/>
      <c r="G387" s="67"/>
      <c r="H387" s="67"/>
      <c r="I387" s="67"/>
      <c r="J387" s="67"/>
      <c r="K387" s="67"/>
      <c r="L387" s="67"/>
      <c r="M387" s="67"/>
      <c r="N387" s="67"/>
      <c r="O387" s="68"/>
      <c r="P387" s="66"/>
      <c r="Q387" s="67"/>
      <c r="R387" s="67"/>
      <c r="S387" s="67"/>
      <c r="T387" s="67"/>
      <c r="U387" s="67"/>
      <c r="V387" s="67"/>
      <c r="W387" s="67"/>
      <c r="X387" s="67"/>
      <c r="Y387" s="67"/>
      <c r="Z387" s="67"/>
      <c r="AA387" s="67"/>
      <c r="AB387" s="67"/>
      <c r="AC387" s="67"/>
      <c r="AD387" s="68"/>
    </row>
    <row r="388" spans="2:33" s="1" customFormat="1" x14ac:dyDescent="0.25" hidden="true">
      <c r="B388" s="69"/>
      <c r="C388" s="70"/>
      <c r="D388" s="70"/>
      <c r="E388" s="70"/>
      <c r="F388" s="70"/>
      <c r="G388" s="70"/>
      <c r="H388" s="70"/>
      <c r="I388" s="70"/>
      <c r="J388" s="70"/>
      <c r="K388" s="70"/>
      <c r="L388" s="70"/>
      <c r="M388" s="70"/>
      <c r="N388" s="70"/>
      <c r="O388" s="71"/>
      <c r="P388" s="69"/>
      <c r="Q388" s="70"/>
      <c r="R388" s="70"/>
      <c r="S388" s="70"/>
      <c r="T388" s="70"/>
      <c r="U388" s="70"/>
      <c r="V388" s="70"/>
      <c r="W388" s="70"/>
      <c r="X388" s="70"/>
      <c r="Y388" s="70"/>
      <c r="Z388" s="70"/>
      <c r="AA388" s="70"/>
      <c r="AB388" s="70"/>
      <c r="AC388" s="70"/>
      <c r="AD388" s="71"/>
    </row>
    <row r="389" spans="2:33" s="1" customFormat="1" x14ac:dyDescent="0.25" hidden="true">
      <c r="B389" s="60" t="s">
        <v>46</v>
      </c>
      <c r="C389" s="61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2"/>
      <c r="P389" s="60" t="s">
        <v>47</v>
      </c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2"/>
    </row>
    <row r="390" spans="2:33" s="1" customFormat="1" ht="15" customHeight="1" x14ac:dyDescent="0.25" hidden="true">
      <c r="B390" s="63" t="str">
        <f>AG373</f>
        <v/>
      </c>
      <c r="C390" s="64"/>
      <c r="D390" s="64"/>
      <c r="E390" s="64"/>
      <c r="F390" s="64"/>
      <c r="G390" s="64"/>
      <c r="H390" s="64"/>
      <c r="I390" s="64"/>
      <c r="J390" s="64"/>
      <c r="K390" s="64"/>
      <c r="L390" s="64"/>
      <c r="M390" s="64"/>
      <c r="N390" s="64"/>
      <c r="O390" s="65"/>
      <c r="P390" s="63" t="str">
        <f>AG374</f>
        <v/>
      </c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/>
      <c r="AD390" s="65"/>
    </row>
    <row r="391" spans="2:33" s="1" customFormat="1" ht="15" customHeight="1" x14ac:dyDescent="0.25" hidden="true">
      <c r="B391" s="66"/>
      <c r="C391" s="67"/>
      <c r="D391" s="67"/>
      <c r="E391" s="67"/>
      <c r="F391" s="67"/>
      <c r="G391" s="67"/>
      <c r="H391" s="67"/>
      <c r="I391" s="67"/>
      <c r="J391" s="67"/>
      <c r="K391" s="67"/>
      <c r="L391" s="67"/>
      <c r="M391" s="67"/>
      <c r="N391" s="67"/>
      <c r="O391" s="68"/>
      <c r="P391" s="66"/>
      <c r="Q391" s="67"/>
      <c r="R391" s="67"/>
      <c r="S391" s="67"/>
      <c r="T391" s="67"/>
      <c r="U391" s="67"/>
      <c r="V391" s="67"/>
      <c r="W391" s="67"/>
      <c r="X391" s="67"/>
      <c r="Y391" s="67"/>
      <c r="Z391" s="67"/>
      <c r="AA391" s="67"/>
      <c r="AB391" s="67"/>
      <c r="AC391" s="67"/>
      <c r="AD391" s="68"/>
    </row>
    <row r="392" spans="2:33" s="1" customFormat="1" x14ac:dyDescent="0.25" hidden="true">
      <c r="B392" s="69"/>
      <c r="C392" s="70"/>
      <c r="D392" s="70"/>
      <c r="E392" s="70"/>
      <c r="F392" s="70"/>
      <c r="G392" s="70"/>
      <c r="H392" s="70"/>
      <c r="I392" s="70"/>
      <c r="J392" s="70"/>
      <c r="K392" s="70"/>
      <c r="L392" s="70"/>
      <c r="M392" s="70"/>
      <c r="N392" s="70"/>
      <c r="O392" s="71"/>
      <c r="P392" s="69"/>
      <c r="Q392" s="70"/>
      <c r="R392" s="70"/>
      <c r="S392" s="70"/>
      <c r="T392" s="70"/>
      <c r="U392" s="70"/>
      <c r="V392" s="70"/>
      <c r="W392" s="70"/>
      <c r="X392" s="70"/>
      <c r="Y392" s="70"/>
      <c r="Z392" s="70"/>
      <c r="AA392" s="70"/>
      <c r="AB392" s="70"/>
      <c r="AC392" s="70"/>
      <c r="AD392" s="71"/>
      <c r="AF392"/>
      <c r="AG392"/>
    </row>
    <row r="393" spans="2:33" s="1" customFormat="1" ht="6.95" customHeight="1" x14ac:dyDescent="0.25" hidden="true"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F393"/>
    </row>
    <row r="394" spans="2:33" s="56" customFormat="1" x14ac:dyDescent="0.25" hidden="true">
      <c r="B394" s="59" t="s">
        <v>577</v>
      </c>
      <c r="C394" s="59"/>
      <c r="D394" s="59"/>
      <c r="E394" s="59"/>
      <c r="F394" s="59"/>
      <c r="G394" s="59"/>
      <c r="H394" s="59"/>
      <c r="I394" s="59" t="s">
        <v>577</v>
      </c>
      <c r="J394" s="59"/>
      <c r="K394" s="59"/>
      <c r="L394" s="59"/>
      <c r="M394" s="59"/>
      <c r="N394" s="59"/>
      <c r="O394" s="59"/>
      <c r="P394" s="59" t="s">
        <v>577</v>
      </c>
      <c r="Q394" s="59"/>
      <c r="R394" s="59"/>
      <c r="S394" s="59"/>
      <c r="T394" s="59"/>
      <c r="U394" s="59"/>
      <c r="V394" s="59"/>
      <c r="W394" s="59" t="s">
        <v>577</v>
      </c>
      <c r="X394" s="59"/>
      <c r="Y394" s="59"/>
      <c r="Z394" s="59"/>
      <c r="AA394" s="59"/>
      <c r="AB394" s="59"/>
      <c r="AC394" s="59"/>
      <c r="AD394" s="58"/>
    </row>
    <row r="395" spans="2:33" s="56" customFormat="1" x14ac:dyDescent="0.25" hidden="true">
      <c r="B395" s="59"/>
      <c r="C395" s="59"/>
      <c r="D395" s="59"/>
      <c r="E395" s="59"/>
      <c r="F395" s="59"/>
      <c r="G395" s="59"/>
      <c r="H395" s="59"/>
      <c r="I395" s="59"/>
      <c r="J395" s="59"/>
      <c r="K395" s="59"/>
      <c r="L395" s="59"/>
      <c r="M395" s="59"/>
      <c r="N395" s="59"/>
      <c r="O395" s="59"/>
      <c r="P395" s="59"/>
      <c r="Q395" s="59"/>
      <c r="R395" s="59"/>
      <c r="S395" s="59"/>
      <c r="T395" s="59"/>
      <c r="U395" s="59"/>
      <c r="V395" s="59"/>
      <c r="W395" s="59"/>
      <c r="X395" s="59"/>
      <c r="Y395" s="59"/>
      <c r="Z395" s="59"/>
      <c r="AA395" s="59"/>
      <c r="AB395" s="59"/>
      <c r="AC395" s="59"/>
      <c r="AD395" s="58"/>
    </row>
    <row r="396" spans="2:33" s="56" customFormat="1" x14ac:dyDescent="0.25" hidden="true">
      <c r="B396" s="59"/>
      <c r="C396" s="59"/>
      <c r="D396" s="59"/>
      <c r="E396" s="59"/>
      <c r="F396" s="59"/>
      <c r="G396" s="59"/>
      <c r="H396" s="59"/>
      <c r="I396" s="59"/>
      <c r="J396" s="59"/>
      <c r="K396" s="59"/>
      <c r="L396" s="59"/>
      <c r="M396" s="59"/>
      <c r="N396" s="59"/>
      <c r="O396" s="59"/>
      <c r="P396" s="59"/>
      <c r="Q396" s="59"/>
      <c r="R396" s="59"/>
      <c r="S396" s="59"/>
      <c r="T396" s="59"/>
      <c r="U396" s="59"/>
      <c r="V396" s="59"/>
      <c r="W396" s="59"/>
      <c r="X396" s="59"/>
      <c r="Y396" s="59"/>
      <c r="Z396" s="59"/>
      <c r="AA396" s="59"/>
      <c r="AB396" s="59"/>
      <c r="AC396" s="59"/>
      <c r="AD396" s="58"/>
    </row>
    <row r="397" spans="2:33" s="56" customFormat="1" x14ac:dyDescent="0.25" hidden="true">
      <c r="B397" s="59"/>
      <c r="C397" s="59"/>
      <c r="D397" s="59"/>
      <c r="E397" s="59"/>
      <c r="F397" s="59"/>
      <c r="G397" s="59"/>
      <c r="H397" s="59"/>
      <c r="I397" s="59"/>
      <c r="J397" s="59"/>
      <c r="K397" s="59"/>
      <c r="L397" s="59"/>
      <c r="M397" s="59"/>
      <c r="N397" s="59"/>
      <c r="O397" s="59"/>
      <c r="P397" s="59"/>
      <c r="Q397" s="59"/>
      <c r="R397" s="59"/>
      <c r="S397" s="59"/>
      <c r="T397" s="59"/>
      <c r="U397" s="59"/>
      <c r="V397" s="59"/>
      <c r="W397" s="59"/>
      <c r="X397" s="59"/>
      <c r="Y397" s="59"/>
      <c r="Z397" s="59"/>
      <c r="AA397" s="59"/>
      <c r="AB397" s="59"/>
      <c r="AC397" s="59"/>
      <c r="AD397" s="58"/>
    </row>
    <row r="398" spans="2:33" s="56" customFormat="1" x14ac:dyDescent="0.25" hidden="true">
      <c r="B398" s="59"/>
      <c r="C398" s="59"/>
      <c r="D398" s="59"/>
      <c r="E398" s="59"/>
      <c r="F398" s="59"/>
      <c r="G398" s="59"/>
      <c r="H398" s="59"/>
      <c r="I398" s="59"/>
      <c r="J398" s="59"/>
      <c r="K398" s="59"/>
      <c r="L398" s="59"/>
      <c r="M398" s="59"/>
      <c r="N398" s="59"/>
      <c r="O398" s="59"/>
      <c r="P398" s="59"/>
      <c r="Q398" s="59"/>
      <c r="R398" s="59"/>
      <c r="S398" s="59"/>
      <c r="T398" s="59"/>
      <c r="U398" s="59"/>
      <c r="V398" s="59"/>
      <c r="W398" s="59"/>
      <c r="X398" s="59"/>
      <c r="Y398" s="59"/>
      <c r="Z398" s="59"/>
      <c r="AA398" s="59"/>
      <c r="AB398" s="59"/>
      <c r="AC398" s="59"/>
      <c r="AD398" s="58"/>
    </row>
    <row r="399" spans="2:33" s="56" customFormat="1" x14ac:dyDescent="0.25" hidden="true">
      <c r="B399" s="59"/>
      <c r="C399" s="59"/>
      <c r="D399" s="59"/>
      <c r="E399" s="59"/>
      <c r="F399" s="59"/>
      <c r="G399" s="59"/>
      <c r="H399" s="59"/>
      <c r="I399" s="59"/>
      <c r="J399" s="59"/>
      <c r="K399" s="59"/>
      <c r="L399" s="59"/>
      <c r="M399" s="59"/>
      <c r="N399" s="59"/>
      <c r="O399" s="59"/>
      <c r="P399" s="59"/>
      <c r="Q399" s="59"/>
      <c r="R399" s="59"/>
      <c r="S399" s="59"/>
      <c r="T399" s="59"/>
      <c r="U399" s="59"/>
      <c r="V399" s="59"/>
      <c r="W399" s="59"/>
      <c r="X399" s="59"/>
      <c r="Y399" s="59"/>
      <c r="Z399" s="59"/>
      <c r="AA399" s="59"/>
      <c r="AB399" s="59"/>
      <c r="AC399" s="59"/>
      <c r="AD399" s="58"/>
    </row>
    <row r="400" spans="2:33" s="44" customFormat="1" x14ac:dyDescent="0.25" hidden="true">
      <c r="B400" s="59"/>
      <c r="C400" s="59"/>
      <c r="D400" s="59"/>
      <c r="E400" s="59"/>
      <c r="F400" s="59"/>
      <c r="G400" s="59"/>
      <c r="H400" s="59"/>
      <c r="I400" s="59"/>
      <c r="J400" s="59"/>
      <c r="K400" s="59"/>
      <c r="L400" s="59"/>
      <c r="M400" s="59"/>
      <c r="N400" s="59"/>
      <c r="O400" s="59"/>
      <c r="P400" s="59"/>
      <c r="Q400" s="59"/>
      <c r="R400" s="59"/>
      <c r="S400" s="59"/>
      <c r="T400" s="59"/>
      <c r="U400" s="59"/>
      <c r="V400" s="59"/>
      <c r="W400" s="59"/>
      <c r="X400" s="59"/>
      <c r="Y400" s="59"/>
      <c r="Z400" s="59"/>
      <c r="AA400" s="59"/>
      <c r="AB400" s="59"/>
      <c r="AC400" s="59"/>
      <c r="AD400" s="58"/>
    </row>
    <row r="401" spans="2:34" s="44" customFormat="1" x14ac:dyDescent="0.25" hidden="true">
      <c r="B401" s="59" t="s">
        <v>577</v>
      </c>
      <c r="C401" s="59"/>
      <c r="D401" s="59"/>
      <c r="E401" s="59"/>
      <c r="F401" s="59"/>
      <c r="G401" s="59"/>
      <c r="H401" s="59"/>
      <c r="I401" s="59" t="s">
        <v>577</v>
      </c>
      <c r="J401" s="59"/>
      <c r="K401" s="59"/>
      <c r="L401" s="59"/>
      <c r="M401" s="59"/>
      <c r="N401" s="59"/>
      <c r="O401" s="59"/>
      <c r="P401" s="59" t="s">
        <v>577</v>
      </c>
      <c r="Q401" s="59"/>
      <c r="R401" s="59"/>
      <c r="S401" s="59"/>
      <c r="T401" s="59"/>
      <c r="U401" s="59"/>
      <c r="V401" s="59"/>
      <c r="W401" s="59" t="s">
        <v>577</v>
      </c>
      <c r="X401" s="59"/>
      <c r="Y401" s="59"/>
      <c r="Z401" s="59"/>
      <c r="AA401" s="59"/>
      <c r="AB401" s="59"/>
      <c r="AC401" s="59"/>
      <c r="AD401" s="58"/>
    </row>
    <row r="402" spans="2:34" s="44" customFormat="1" x14ac:dyDescent="0.25" hidden="true">
      <c r="B402" s="59"/>
      <c r="C402" s="59"/>
      <c r="D402" s="59"/>
      <c r="E402" s="59"/>
      <c r="F402" s="59"/>
      <c r="G402" s="59"/>
      <c r="H402" s="59"/>
      <c r="I402" s="59"/>
      <c r="J402" s="59"/>
      <c r="K402" s="59"/>
      <c r="L402" s="59"/>
      <c r="M402" s="59"/>
      <c r="N402" s="59"/>
      <c r="O402" s="59"/>
      <c r="P402" s="59"/>
      <c r="Q402" s="59"/>
      <c r="R402" s="59"/>
      <c r="S402" s="59"/>
      <c r="T402" s="59"/>
      <c r="U402" s="59"/>
      <c r="V402" s="59"/>
      <c r="W402" s="59"/>
      <c r="X402" s="59"/>
      <c r="Y402" s="59"/>
      <c r="Z402" s="59"/>
      <c r="AA402" s="59"/>
      <c r="AB402" s="59"/>
      <c r="AC402" s="59"/>
      <c r="AD402" s="58"/>
    </row>
    <row r="403" spans="2:34" s="44" customFormat="1" x14ac:dyDescent="0.25" hidden="true">
      <c r="B403" s="59"/>
      <c r="C403" s="59"/>
      <c r="D403" s="59"/>
      <c r="E403" s="59"/>
      <c r="F403" s="59"/>
      <c r="G403" s="59"/>
      <c r="H403" s="59"/>
      <c r="I403" s="59"/>
      <c r="J403" s="59"/>
      <c r="K403" s="59"/>
      <c r="L403" s="59"/>
      <c r="M403" s="59"/>
      <c r="N403" s="59"/>
      <c r="O403" s="59"/>
      <c r="P403" s="59"/>
      <c r="Q403" s="59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58"/>
    </row>
    <row r="404" spans="2:34" s="44" customFormat="1" ht="6.95" customHeight="1" x14ac:dyDescent="0.25" hidden="true">
      <c r="B404" s="59"/>
      <c r="C404" s="59"/>
      <c r="D404" s="59"/>
      <c r="E404" s="59"/>
      <c r="F404" s="59"/>
      <c r="G404" s="59"/>
      <c r="H404" s="59"/>
      <c r="I404" s="59"/>
      <c r="J404" s="59"/>
      <c r="K404" s="59"/>
      <c r="L404" s="59"/>
      <c r="M404" s="59"/>
      <c r="N404" s="59"/>
      <c r="O404" s="59"/>
      <c r="P404" s="59"/>
      <c r="Q404" s="59"/>
      <c r="R404" s="59"/>
      <c r="S404" s="59"/>
      <c r="T404" s="59"/>
      <c r="U404" s="59"/>
      <c r="V404" s="59"/>
      <c r="W404" s="59"/>
      <c r="X404" s="59"/>
      <c r="Y404" s="59"/>
      <c r="Z404" s="59"/>
      <c r="AA404" s="59"/>
      <c r="AB404" s="59"/>
      <c r="AC404" s="59"/>
      <c r="AD404" s="21"/>
    </row>
    <row r="405" spans="2:34" s="44" customFormat="1" x14ac:dyDescent="0.25" hidden="true">
      <c r="B405" s="59"/>
      <c r="C405" s="59"/>
      <c r="D405" s="59"/>
      <c r="E405" s="59"/>
      <c r="F405" s="59"/>
      <c r="G405" s="59"/>
      <c r="H405" s="59"/>
      <c r="I405" s="59"/>
      <c r="J405" s="59"/>
      <c r="K405" s="59"/>
      <c r="L405" s="59"/>
      <c r="M405" s="59"/>
      <c r="N405" s="59"/>
      <c r="O405" s="59"/>
      <c r="P405" s="59"/>
      <c r="Q405" s="59"/>
      <c r="R405" s="59"/>
      <c r="S405" s="59"/>
      <c r="T405" s="59"/>
      <c r="U405" s="59"/>
      <c r="V405" s="59"/>
      <c r="W405" s="59"/>
      <c r="X405" s="59"/>
      <c r="Y405" s="59"/>
      <c r="Z405" s="59"/>
      <c r="AA405" s="59"/>
      <c r="AB405" s="59"/>
      <c r="AC405" s="59"/>
      <c r="AD405" s="58"/>
    </row>
    <row r="406" spans="2:34" s="44" customFormat="1" x14ac:dyDescent="0.25" hidden="true">
      <c r="B406" s="59"/>
      <c r="C406" s="59"/>
      <c r="D406" s="59"/>
      <c r="E406" s="59"/>
      <c r="F406" s="59"/>
      <c r="G406" s="59"/>
      <c r="H406" s="59"/>
      <c r="I406" s="59"/>
      <c r="J406" s="59"/>
      <c r="K406" s="59"/>
      <c r="L406" s="59"/>
      <c r="M406" s="59"/>
      <c r="N406" s="59"/>
      <c r="O406" s="59"/>
      <c r="P406" s="59"/>
      <c r="Q406" s="59"/>
      <c r="R406" s="59"/>
      <c r="S406" s="59"/>
      <c r="T406" s="59"/>
      <c r="U406" s="59"/>
      <c r="V406" s="59"/>
      <c r="W406" s="59"/>
      <c r="X406" s="59"/>
      <c r="Y406" s="59"/>
      <c r="Z406" s="59"/>
      <c r="AA406" s="59"/>
      <c r="AB406" s="59"/>
      <c r="AC406" s="59"/>
      <c r="AD406" s="58"/>
    </row>
    <row r="407" spans="2:34" s="44" customFormat="1" x14ac:dyDescent="0.25" hidden="true">
      <c r="B407" s="59"/>
      <c r="C407" s="59"/>
      <c r="D407" s="59"/>
      <c r="E407" s="59"/>
      <c r="F407" s="59"/>
      <c r="G407" s="59"/>
      <c r="H407" s="59"/>
      <c r="I407" s="59"/>
      <c r="J407" s="59"/>
      <c r="K407" s="59"/>
      <c r="L407" s="59"/>
      <c r="M407" s="59"/>
      <c r="N407" s="59"/>
      <c r="O407" s="59"/>
      <c r="P407" s="59"/>
      <c r="Q407" s="59"/>
      <c r="R407" s="59"/>
      <c r="S407" s="59"/>
      <c r="T407" s="59"/>
      <c r="U407" s="59"/>
      <c r="V407" s="59"/>
      <c r="W407" s="59"/>
      <c r="X407" s="59"/>
      <c r="Y407" s="59"/>
      <c r="Z407" s="59"/>
      <c r="AA407" s="59"/>
      <c r="AB407" s="59"/>
      <c r="AC407" s="59"/>
      <c r="AD407" s="58"/>
    </row>
    <row r="408" spans="2:34" s="44" customFormat="1" x14ac:dyDescent="0.25" hidden="true">
      <c r="B408" s="59" t="s">
        <v>577</v>
      </c>
      <c r="C408" s="59"/>
      <c r="D408" s="59"/>
      <c r="E408" s="59"/>
      <c r="F408" s="59"/>
      <c r="G408" s="59"/>
      <c r="H408" s="59"/>
      <c r="I408" s="59" t="s">
        <v>577</v>
      </c>
      <c r="J408" s="59"/>
      <c r="K408" s="59"/>
      <c r="L408" s="59"/>
      <c r="M408" s="59"/>
      <c r="N408" s="59"/>
      <c r="O408" s="59"/>
      <c r="P408" s="59" t="s">
        <v>577</v>
      </c>
      <c r="Q408" s="59"/>
      <c r="R408" s="59"/>
      <c r="S408" s="59"/>
      <c r="T408" s="59"/>
      <c r="U408" s="59"/>
      <c r="V408" s="59"/>
      <c r="W408" s="59" t="s">
        <v>577</v>
      </c>
      <c r="X408" s="59"/>
      <c r="Y408" s="59"/>
      <c r="Z408" s="59"/>
      <c r="AA408" s="59"/>
      <c r="AB408" s="59"/>
      <c r="AC408" s="59"/>
      <c r="AD408" s="58"/>
    </row>
    <row r="409" spans="2:34" s="44" customFormat="1" x14ac:dyDescent="0.25" hidden="true">
      <c r="B409" s="59"/>
      <c r="C409" s="59"/>
      <c r="D409" s="59"/>
      <c r="E409" s="59"/>
      <c r="F409" s="59"/>
      <c r="G409" s="59"/>
      <c r="H409" s="59"/>
      <c r="I409" s="59"/>
      <c r="J409" s="59"/>
      <c r="K409" s="59"/>
      <c r="L409" s="59"/>
      <c r="M409" s="59"/>
      <c r="N409" s="59"/>
      <c r="O409" s="59"/>
      <c r="P409" s="59"/>
      <c r="Q409" s="59"/>
      <c r="R409" s="59"/>
      <c r="S409" s="59"/>
      <c r="T409" s="59"/>
      <c r="U409" s="59"/>
      <c r="V409" s="59"/>
      <c r="W409" s="59"/>
      <c r="X409" s="59"/>
      <c r="Y409" s="59"/>
      <c r="Z409" s="59"/>
      <c r="AA409" s="59"/>
      <c r="AB409" s="59"/>
      <c r="AC409" s="59"/>
      <c r="AD409" s="58"/>
    </row>
    <row r="410" spans="2:34" s="44" customFormat="1" x14ac:dyDescent="0.25" hidden="true">
      <c r="B410" s="59"/>
      <c r="C410" s="59"/>
      <c r="D410" s="59"/>
      <c r="E410" s="59"/>
      <c r="F410" s="59"/>
      <c r="G410" s="59"/>
      <c r="H410" s="59"/>
      <c r="I410" s="59"/>
      <c r="J410" s="59"/>
      <c r="K410" s="59"/>
      <c r="L410" s="59"/>
      <c r="M410" s="59"/>
      <c r="N410" s="59"/>
      <c r="O410" s="59"/>
      <c r="P410" s="59"/>
      <c r="Q410" s="59"/>
      <c r="R410" s="59"/>
      <c r="S410" s="59"/>
      <c r="T410" s="59"/>
      <c r="U410" s="59"/>
      <c r="V410" s="59"/>
      <c r="W410" s="59"/>
      <c r="X410" s="59"/>
      <c r="Y410" s="59"/>
      <c r="Z410" s="59"/>
      <c r="AA410" s="59"/>
      <c r="AB410" s="59"/>
      <c r="AC410" s="59"/>
      <c r="AD410" s="58"/>
    </row>
    <row r="411" spans="2:34" s="44" customFormat="1" x14ac:dyDescent="0.25" hidden="true">
      <c r="B411" s="59"/>
      <c r="C411" s="59"/>
      <c r="D411" s="59"/>
      <c r="E411" s="59"/>
      <c r="F411" s="59"/>
      <c r="G411" s="59"/>
      <c r="H411" s="59"/>
      <c r="I411" s="59"/>
      <c r="J411" s="59"/>
      <c r="K411" s="59"/>
      <c r="L411" s="59"/>
      <c r="M411" s="59"/>
      <c r="N411" s="59"/>
      <c r="O411" s="59"/>
      <c r="P411" s="59"/>
      <c r="Q411" s="59"/>
      <c r="R411" s="59"/>
      <c r="S411" s="59"/>
      <c r="T411" s="59"/>
      <c r="U411" s="59"/>
      <c r="V411" s="59"/>
      <c r="W411" s="59"/>
      <c r="X411" s="59"/>
      <c r="Y411" s="59"/>
      <c r="Z411" s="59"/>
      <c r="AA411" s="59"/>
      <c r="AB411" s="59"/>
      <c r="AC411" s="59"/>
      <c r="AD411" s="58"/>
    </row>
    <row r="412" spans="2:34" s="44" customFormat="1" x14ac:dyDescent="0.25" hidden="true">
      <c r="B412" s="59"/>
      <c r="C412" s="59"/>
      <c r="D412" s="59"/>
      <c r="E412" s="59"/>
      <c r="F412" s="59"/>
      <c r="G412" s="59"/>
      <c r="H412" s="59"/>
      <c r="I412" s="59"/>
      <c r="J412" s="59"/>
      <c r="K412" s="59"/>
      <c r="L412" s="59"/>
      <c r="M412" s="59"/>
      <c r="N412" s="59"/>
      <c r="O412" s="59"/>
      <c r="P412" s="59"/>
      <c r="Q412" s="59"/>
      <c r="R412" s="59"/>
      <c r="S412" s="59"/>
      <c r="T412" s="59"/>
      <c r="U412" s="59"/>
      <c r="V412" s="59"/>
      <c r="W412" s="59"/>
      <c r="X412" s="59"/>
      <c r="Y412" s="59"/>
      <c r="Z412" s="59"/>
      <c r="AA412" s="59"/>
      <c r="AB412" s="59"/>
      <c r="AC412" s="59"/>
      <c r="AD412" s="58"/>
    </row>
    <row r="413" spans="2:34" s="44" customFormat="1" x14ac:dyDescent="0.25" hidden="true">
      <c r="B413" s="59"/>
      <c r="C413" s="59"/>
      <c r="D413" s="59"/>
      <c r="E413" s="59"/>
      <c r="F413" s="59"/>
      <c r="G413" s="59"/>
      <c r="H413" s="59"/>
      <c r="I413" s="59"/>
      <c r="J413" s="59"/>
      <c r="K413" s="59"/>
      <c r="L413" s="59"/>
      <c r="M413" s="59"/>
      <c r="N413" s="59"/>
      <c r="O413" s="59"/>
      <c r="P413" s="59"/>
      <c r="Q413" s="59"/>
      <c r="R413" s="59"/>
      <c r="S413" s="59"/>
      <c r="T413" s="59"/>
      <c r="U413" s="59"/>
      <c r="V413" s="59"/>
      <c r="W413" s="59"/>
      <c r="X413" s="59"/>
      <c r="Y413" s="59"/>
      <c r="Z413" s="59"/>
      <c r="AA413" s="59"/>
      <c r="AB413" s="59"/>
      <c r="AC413" s="59"/>
      <c r="AD413" s="58"/>
    </row>
    <row r="414" spans="2:34" s="44" customFormat="1" x14ac:dyDescent="0.25" hidden="true">
      <c r="B414" s="59"/>
      <c r="C414" s="59"/>
      <c r="D414" s="59"/>
      <c r="E414" s="59"/>
      <c r="F414" s="59"/>
      <c r="G414" s="59"/>
      <c r="H414" s="59"/>
      <c r="I414" s="59"/>
      <c r="J414" s="59"/>
      <c r="K414" s="59"/>
      <c r="L414" s="59"/>
      <c r="M414" s="59"/>
      <c r="N414" s="59"/>
      <c r="O414" s="59"/>
      <c r="P414" s="59"/>
      <c r="Q414" s="59"/>
      <c r="R414" s="59"/>
      <c r="S414" s="59"/>
      <c r="T414" s="59"/>
      <c r="U414" s="59"/>
      <c r="V414" s="59"/>
      <c r="W414" s="59"/>
      <c r="X414" s="59"/>
      <c r="Y414" s="59"/>
      <c r="Z414" s="59"/>
      <c r="AA414" s="59"/>
      <c r="AB414" s="59"/>
      <c r="AC414" s="59"/>
      <c r="AD414" s="58"/>
    </row>
    <row r="415" spans="2:34" s="1" customFormat="1" x14ac:dyDescent="0.25" hidden="true">
      <c r="B415" s="85" t="s">
        <v>223</v>
      </c>
      <c r="C415" s="85"/>
      <c r="D415" s="85"/>
      <c r="E415" s="85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  <c r="S415" s="86"/>
      <c r="T415" s="85" t="s">
        <v>41</v>
      </c>
      <c r="U415" s="85"/>
      <c r="V415" s="85"/>
      <c r="W415" s="85"/>
      <c r="X415" s="85"/>
      <c r="Y415" s="85"/>
      <c r="Z415" s="85"/>
      <c r="AA415" s="85"/>
      <c r="AB415" s="85"/>
      <c r="AC415" s="86"/>
      <c r="AD415" s="86"/>
    </row>
    <row r="416" spans="2:34" s="1" customFormat="1" ht="15" customHeight="1" x14ac:dyDescent="0.25" hidden="true">
      <c r="B416" s="83"/>
      <c r="C416" s="83"/>
      <c r="D416" s="83"/>
      <c r="E416" s="83"/>
      <c r="F416" s="83"/>
      <c r="G416" s="83"/>
      <c r="H416" s="83"/>
      <c r="I416" s="83"/>
      <c r="J416" s="83"/>
      <c r="K416" s="83"/>
      <c r="L416" s="83"/>
      <c r="M416" s="83"/>
      <c r="N416" s="83"/>
      <c r="O416" s="83"/>
      <c r="P416" s="83"/>
      <c r="Q416" s="83"/>
      <c r="R416" s="83"/>
      <c r="S416" s="83"/>
      <c r="T416" s="83"/>
      <c r="U416" s="83"/>
      <c r="V416" s="83"/>
      <c r="W416" s="83"/>
      <c r="X416" s="83"/>
      <c r="Y416" s="83"/>
      <c r="Z416" s="83"/>
      <c r="AA416" s="83"/>
      <c r="AB416" s="83"/>
      <c r="AC416" s="83"/>
      <c r="AD416" s="83"/>
      <c r="AG416" s="1" t="str">
        <f>SUBSTITUTE(AH416,",","; ")</f>
        <v/>
      </c>
      <c r="AH416" s="1"/>
    </row>
    <row r="417" spans="2:34" s="1" customFormat="1" x14ac:dyDescent="0.25" hidden="true">
      <c r="B417" s="83"/>
      <c r="C417" s="83"/>
      <c r="D417" s="83"/>
      <c r="E417" s="83"/>
      <c r="F417" s="83"/>
      <c r="G417" s="83"/>
      <c r="H417" s="83"/>
      <c r="I417" s="83"/>
      <c r="J417" s="83"/>
      <c r="K417" s="83"/>
      <c r="L417" s="83"/>
      <c r="M417" s="83"/>
      <c r="N417" s="83"/>
      <c r="O417" s="83"/>
      <c r="P417" s="83"/>
      <c r="Q417" s="83"/>
      <c r="R417" s="83"/>
      <c r="S417" s="83"/>
      <c r="T417" s="83"/>
      <c r="U417" s="83"/>
      <c r="V417" s="83"/>
      <c r="W417" s="83"/>
      <c r="X417" s="83"/>
      <c r="Y417" s="83"/>
      <c r="Z417" s="83"/>
      <c r="AA417" s="83"/>
      <c r="AB417" s="83"/>
      <c r="AC417" s="83"/>
      <c r="AD417" s="83"/>
      <c r="AG417" s="1" t="str">
        <f t="shared" ref="AG417:AG425" si="8">SUBSTITUTE(AH417,",","; ")</f>
        <v/>
      </c>
      <c r="AH417" s="1"/>
    </row>
    <row r="418" spans="2:34" s="1" customFormat="1" ht="7.5" customHeight="1" x14ac:dyDescent="0.25" hidden="true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V418" s="2"/>
      <c r="W418" s="2"/>
      <c r="X418" s="2"/>
      <c r="Y418" s="2"/>
      <c r="Z418" s="2"/>
      <c r="AA418" s="2"/>
      <c r="AB418" s="2"/>
      <c r="AC418" s="2"/>
      <c r="AG418" s="1" t="str">
        <f t="shared" si="8"/>
        <v/>
      </c>
    </row>
    <row r="419" spans="2:34" s="1" customFormat="1" x14ac:dyDescent="0.25" hidden="true">
      <c r="B419" s="80"/>
      <c r="C419" s="81"/>
      <c r="D419" s="81"/>
      <c r="E419" s="81"/>
      <c r="F419" s="81"/>
      <c r="G419" s="81"/>
      <c r="H419" s="81"/>
      <c r="I419" s="81"/>
      <c r="J419" s="81"/>
      <c r="K419" s="82"/>
      <c r="L419" s="80"/>
      <c r="M419" s="81"/>
      <c r="N419" s="81"/>
      <c r="O419" s="81"/>
      <c r="P419" s="81"/>
      <c r="Q419" s="81"/>
      <c r="R419" s="81"/>
      <c r="S419" s="81"/>
      <c r="T419" s="81"/>
      <c r="U419" s="82"/>
      <c r="V419" s="80"/>
      <c r="W419" s="81"/>
      <c r="X419" s="81"/>
      <c r="Y419" s="81"/>
      <c r="Z419" s="81"/>
      <c r="AA419" s="81"/>
      <c r="AB419" s="81"/>
      <c r="AC419" s="81"/>
      <c r="AD419" s="82"/>
      <c r="AG419" s="1" t="str">
        <f t="shared" si="8"/>
        <v/>
      </c>
      <c r="AH419" s="1"/>
    </row>
    <row r="420" spans="2:34" s="1" customFormat="1" x14ac:dyDescent="0.25" hidden="true">
      <c r="B420" s="72" t="s">
        <v>42</v>
      </c>
      <c r="C420" s="73"/>
      <c r="D420" s="73"/>
      <c r="E420" s="73"/>
      <c r="F420" s="73"/>
      <c r="G420" s="73"/>
      <c r="H420" s="73"/>
      <c r="I420" s="74"/>
      <c r="J420" s="74"/>
      <c r="K420" s="32"/>
      <c r="L420" s="72" t="s">
        <v>42</v>
      </c>
      <c r="M420" s="73"/>
      <c r="N420" s="73"/>
      <c r="O420" s="73"/>
      <c r="P420" s="73"/>
      <c r="Q420" s="73"/>
      <c r="R420" s="73"/>
      <c r="S420" s="74"/>
      <c r="T420" s="74"/>
      <c r="U420" s="31"/>
      <c r="V420" s="30" t="s">
        <v>42</v>
      </c>
      <c r="W420" s="30"/>
      <c r="X420" s="30"/>
      <c r="Y420" s="30"/>
      <c r="Z420" s="30"/>
      <c r="AA420" s="30"/>
      <c r="AB420" s="55"/>
      <c r="AC420" s="74"/>
      <c r="AD420" s="84"/>
      <c r="AG420" s="1" t="str">
        <f t="shared" si="8"/>
        <v/>
      </c>
      <c r="AH420" s="1"/>
    </row>
    <row r="421" spans="2:34" s="1" customFormat="1" ht="15" customHeight="1" x14ac:dyDescent="0.25" hidden="true">
      <c r="B421" s="77" t="s">
        <v>43</v>
      </c>
      <c r="C421" s="78"/>
      <c r="D421" s="78"/>
      <c r="E421" s="78"/>
      <c r="F421" s="78"/>
      <c r="G421" s="78"/>
      <c r="H421" s="78"/>
      <c r="I421" s="78"/>
      <c r="J421" s="78"/>
      <c r="K421" s="79"/>
      <c r="L421" s="77" t="s">
        <v>43</v>
      </c>
      <c r="M421" s="78"/>
      <c r="N421" s="78"/>
      <c r="O421" s="78"/>
      <c r="P421" s="78"/>
      <c r="Q421" s="78"/>
      <c r="R421" s="78"/>
      <c r="S421" s="78"/>
      <c r="T421" s="78"/>
      <c r="U421" s="79"/>
      <c r="V421" s="77" t="s">
        <v>43</v>
      </c>
      <c r="W421" s="78"/>
      <c r="X421" s="78"/>
      <c r="Y421" s="78"/>
      <c r="Z421" s="78"/>
      <c r="AA421" s="78"/>
      <c r="AB421" s="78"/>
      <c r="AC421" s="78"/>
      <c r="AD421" s="79"/>
      <c r="AG421" s="1" t="str">
        <f t="shared" si="8"/>
        <v/>
      </c>
      <c r="AH421" s="1"/>
    </row>
    <row r="422" spans="2:34" s="1" customFormat="1" ht="15" customHeight="1" x14ac:dyDescent="0.25" hidden="true">
      <c r="B422" s="66" t="str">
        <f>AG416</f>
        <v/>
      </c>
      <c r="C422" s="67"/>
      <c r="D422" s="67"/>
      <c r="E422" s="67"/>
      <c r="F422" s="67"/>
      <c r="G422" s="67"/>
      <c r="H422" s="67"/>
      <c r="I422" s="67"/>
      <c r="J422" s="67"/>
      <c r="K422" s="68"/>
      <c r="L422" s="66" t="str">
        <f>AG417</f>
        <v/>
      </c>
      <c r="M422" s="67"/>
      <c r="N422" s="67"/>
      <c r="O422" s="67"/>
      <c r="P422" s="67"/>
      <c r="Q422" s="67"/>
      <c r="R422" s="67"/>
      <c r="S422" s="67"/>
      <c r="T422" s="67"/>
      <c r="U422" s="68"/>
      <c r="V422" s="66" t="str">
        <f>AG419</f>
        <v/>
      </c>
      <c r="W422" s="67"/>
      <c r="X422" s="67"/>
      <c r="Y422" s="67"/>
      <c r="Z422" s="67"/>
      <c r="AA422" s="67"/>
      <c r="AB422" s="67"/>
      <c r="AC422" s="67"/>
      <c r="AD422" s="68"/>
      <c r="AG422" s="1" t="str">
        <f t="shared" si="8"/>
        <v/>
      </c>
      <c r="AH422" s="1"/>
    </row>
    <row r="423" spans="2:34" s="1" customFormat="1" x14ac:dyDescent="0.25" hidden="true">
      <c r="B423" s="66"/>
      <c r="C423" s="67"/>
      <c r="D423" s="67"/>
      <c r="E423" s="67"/>
      <c r="F423" s="67"/>
      <c r="G423" s="67"/>
      <c r="H423" s="67"/>
      <c r="I423" s="67"/>
      <c r="J423" s="67"/>
      <c r="K423" s="68"/>
      <c r="L423" s="66"/>
      <c r="M423" s="67"/>
      <c r="N423" s="67"/>
      <c r="O423" s="67"/>
      <c r="P423" s="67"/>
      <c r="Q423" s="67"/>
      <c r="R423" s="67"/>
      <c r="S423" s="67"/>
      <c r="T423" s="67"/>
      <c r="U423" s="68"/>
      <c r="V423" s="66"/>
      <c r="W423" s="67"/>
      <c r="X423" s="67"/>
      <c r="Y423" s="67"/>
      <c r="Z423" s="67"/>
      <c r="AA423" s="67"/>
      <c r="AB423" s="67"/>
      <c r="AC423" s="67"/>
      <c r="AD423" s="68"/>
      <c r="AG423" s="1" t="str">
        <f t="shared" si="8"/>
        <v/>
      </c>
      <c r="AH423" s="1"/>
    </row>
    <row r="424" spans="2:34" s="1" customFormat="1" x14ac:dyDescent="0.25" hidden="true">
      <c r="B424" s="66"/>
      <c r="C424" s="67"/>
      <c r="D424" s="67"/>
      <c r="E424" s="67"/>
      <c r="F424" s="67"/>
      <c r="G424" s="67"/>
      <c r="H424" s="67"/>
      <c r="I424" s="67"/>
      <c r="J424" s="67"/>
      <c r="K424" s="68"/>
      <c r="L424" s="66"/>
      <c r="M424" s="67"/>
      <c r="N424" s="67"/>
      <c r="O424" s="67"/>
      <c r="P424" s="67"/>
      <c r="Q424" s="67"/>
      <c r="R424" s="67"/>
      <c r="S424" s="67"/>
      <c r="T424" s="67"/>
      <c r="U424" s="68"/>
      <c r="V424" s="66"/>
      <c r="W424" s="67"/>
      <c r="X424" s="67"/>
      <c r="Y424" s="67"/>
      <c r="Z424" s="67"/>
      <c r="AA424" s="67"/>
      <c r="AB424" s="67"/>
      <c r="AC424" s="67"/>
      <c r="AD424" s="68"/>
      <c r="AG424" s="1" t="str">
        <f t="shared" si="8"/>
        <v/>
      </c>
      <c r="AH424" s="57"/>
    </row>
    <row r="425" spans="2:34" s="1" customFormat="1" x14ac:dyDescent="0.25" hidden="true">
      <c r="B425" s="66"/>
      <c r="C425" s="67"/>
      <c r="D425" s="67"/>
      <c r="E425" s="67"/>
      <c r="F425" s="67"/>
      <c r="G425" s="67"/>
      <c r="H425" s="67"/>
      <c r="I425" s="67"/>
      <c r="J425" s="67"/>
      <c r="K425" s="68"/>
      <c r="L425" s="66"/>
      <c r="M425" s="67"/>
      <c r="N425" s="67"/>
      <c r="O425" s="67"/>
      <c r="P425" s="67"/>
      <c r="Q425" s="67"/>
      <c r="R425" s="67"/>
      <c r="S425" s="67"/>
      <c r="T425" s="67"/>
      <c r="U425" s="68"/>
      <c r="V425" s="66"/>
      <c r="W425" s="67"/>
      <c r="X425" s="67"/>
      <c r="Y425" s="67"/>
      <c r="Z425" s="67"/>
      <c r="AA425" s="67"/>
      <c r="AB425" s="67"/>
      <c r="AC425" s="67"/>
      <c r="AD425" s="68"/>
      <c r="AG425" s="1" t="str">
        <f t="shared" si="8"/>
        <v/>
      </c>
      <c r="AH425" s="57"/>
    </row>
    <row r="426" spans="2:34" s="1" customFormat="1" ht="6.95" customHeight="1" x14ac:dyDescent="0.25" hidden="true">
      <c r="B426" s="69"/>
      <c r="C426" s="70"/>
      <c r="D426" s="70"/>
      <c r="E426" s="70"/>
      <c r="F426" s="70"/>
      <c r="G426" s="70"/>
      <c r="H426" s="70"/>
      <c r="I426" s="70"/>
      <c r="J426" s="70"/>
      <c r="K426" s="71"/>
      <c r="L426" s="69"/>
      <c r="M426" s="70"/>
      <c r="N426" s="70"/>
      <c r="O426" s="70"/>
      <c r="P426" s="70"/>
      <c r="Q426" s="70"/>
      <c r="R426" s="70"/>
      <c r="S426" s="70"/>
      <c r="T426" s="70"/>
      <c r="U426" s="71"/>
      <c r="V426" s="69"/>
      <c r="W426" s="70"/>
      <c r="X426" s="70"/>
      <c r="Y426" s="70"/>
      <c r="Z426" s="70"/>
      <c r="AA426" s="70"/>
      <c r="AB426" s="70"/>
      <c r="AC426" s="70"/>
      <c r="AD426" s="71"/>
    </row>
    <row r="427" spans="2:34" s="1" customFormat="1" x14ac:dyDescent="0.25" hidden="true">
      <c r="B427" s="80"/>
      <c r="C427" s="81"/>
      <c r="D427" s="81"/>
      <c r="E427" s="81"/>
      <c r="F427" s="81"/>
      <c r="G427" s="81"/>
      <c r="H427" s="81"/>
      <c r="I427" s="81"/>
      <c r="J427" s="81"/>
      <c r="K427" s="82"/>
      <c r="L427" s="80"/>
      <c r="M427" s="81"/>
      <c r="N427" s="81"/>
      <c r="O427" s="81"/>
      <c r="P427" s="81"/>
      <c r="Q427" s="81"/>
      <c r="R427" s="81"/>
      <c r="S427" s="81"/>
      <c r="T427" s="81"/>
      <c r="U427" s="81"/>
      <c r="V427" s="81"/>
      <c r="W427" s="81"/>
      <c r="X427" s="81"/>
      <c r="Y427" s="81"/>
      <c r="Z427" s="81"/>
      <c r="AA427" s="81"/>
      <c r="AB427" s="81"/>
      <c r="AC427" s="81"/>
      <c r="AD427" s="82"/>
    </row>
    <row r="428" spans="2:34" s="1" customFormat="1" x14ac:dyDescent="0.25" hidden="true">
      <c r="B428" s="72" t="s">
        <v>42</v>
      </c>
      <c r="C428" s="73"/>
      <c r="D428" s="73"/>
      <c r="E428" s="73"/>
      <c r="F428" s="73"/>
      <c r="G428" s="73"/>
      <c r="H428" s="73"/>
      <c r="I428" s="74"/>
      <c r="J428" s="74"/>
      <c r="K428" s="32"/>
      <c r="L428" s="72" t="s">
        <v>42</v>
      </c>
      <c r="M428" s="73"/>
      <c r="N428" s="73"/>
      <c r="O428" s="73"/>
      <c r="P428" s="73"/>
      <c r="Q428" s="73"/>
      <c r="R428" s="73"/>
      <c r="S428" s="74"/>
      <c r="T428" s="74"/>
      <c r="U428" s="28"/>
      <c r="V428" s="35"/>
      <c r="W428" s="35"/>
      <c r="X428" s="35"/>
      <c r="Y428" s="35"/>
      <c r="Z428" s="35"/>
      <c r="AA428" s="35"/>
      <c r="AB428" s="35"/>
      <c r="AC428" s="75"/>
      <c r="AD428" s="76"/>
    </row>
    <row r="429" spans="2:34" s="1" customFormat="1" ht="15" customHeight="1" x14ac:dyDescent="0.25" hidden="true">
      <c r="B429" s="77" t="s">
        <v>43</v>
      </c>
      <c r="C429" s="78"/>
      <c r="D429" s="78"/>
      <c r="E429" s="78"/>
      <c r="F429" s="78"/>
      <c r="G429" s="78"/>
      <c r="H429" s="78"/>
      <c r="I429" s="78"/>
      <c r="J429" s="78"/>
      <c r="K429" s="79"/>
      <c r="L429" s="77" t="s">
        <v>43</v>
      </c>
      <c r="M429" s="78"/>
      <c r="N429" s="78"/>
      <c r="O429" s="78"/>
      <c r="P429" s="78"/>
      <c r="Q429" s="78"/>
      <c r="R429" s="78"/>
      <c r="S429" s="78"/>
      <c r="T429" s="78"/>
      <c r="U429" s="78"/>
      <c r="V429" s="78"/>
      <c r="W429" s="78"/>
      <c r="X429" s="78"/>
      <c r="Y429" s="78"/>
      <c r="Z429" s="78"/>
      <c r="AA429" s="78"/>
      <c r="AB429" s="78"/>
      <c r="AC429" s="78"/>
      <c r="AD429" s="79"/>
    </row>
    <row r="430" spans="2:34" s="1" customFormat="1" ht="15" customHeight="1" x14ac:dyDescent="0.25" hidden="true">
      <c r="B430" s="66" t="str">
        <f>AG420</f>
        <v/>
      </c>
      <c r="C430" s="67"/>
      <c r="D430" s="67"/>
      <c r="E430" s="67"/>
      <c r="F430" s="67"/>
      <c r="G430" s="67"/>
      <c r="H430" s="67"/>
      <c r="I430" s="67"/>
      <c r="J430" s="67"/>
      <c r="K430" s="68"/>
      <c r="L430" s="66" t="str">
        <f>AG421</f>
        <v/>
      </c>
      <c r="M430" s="67"/>
      <c r="N430" s="67"/>
      <c r="O430" s="67"/>
      <c r="P430" s="67"/>
      <c r="Q430" s="67"/>
      <c r="R430" s="67"/>
      <c r="S430" s="67"/>
      <c r="T430" s="67"/>
      <c r="U430" s="67"/>
      <c r="V430" s="67"/>
      <c r="W430" s="67"/>
      <c r="X430" s="67"/>
      <c r="Y430" s="67"/>
      <c r="Z430" s="67"/>
      <c r="AA430" s="67"/>
      <c r="AB430" s="67"/>
      <c r="AC430" s="67"/>
      <c r="AD430" s="68"/>
    </row>
    <row r="431" spans="2:34" s="1" customFormat="1" x14ac:dyDescent="0.25" hidden="true">
      <c r="B431" s="66"/>
      <c r="C431" s="67"/>
      <c r="D431" s="67"/>
      <c r="E431" s="67"/>
      <c r="F431" s="67"/>
      <c r="G431" s="67"/>
      <c r="H431" s="67"/>
      <c r="I431" s="67"/>
      <c r="J431" s="67"/>
      <c r="K431" s="68"/>
      <c r="L431" s="66"/>
      <c r="M431" s="67"/>
      <c r="N431" s="67"/>
      <c r="O431" s="67"/>
      <c r="P431" s="67"/>
      <c r="Q431" s="67"/>
      <c r="R431" s="67"/>
      <c r="S431" s="67"/>
      <c r="T431" s="67"/>
      <c r="U431" s="67"/>
      <c r="V431" s="67"/>
      <c r="W431" s="67"/>
      <c r="X431" s="67"/>
      <c r="Y431" s="67"/>
      <c r="Z431" s="67"/>
      <c r="AA431" s="67"/>
      <c r="AB431" s="67"/>
      <c r="AC431" s="67"/>
      <c r="AD431" s="68"/>
    </row>
    <row r="432" spans="2:34" s="1" customFormat="1" x14ac:dyDescent="0.25" hidden="true">
      <c r="B432" s="66"/>
      <c r="C432" s="67"/>
      <c r="D432" s="67"/>
      <c r="E432" s="67"/>
      <c r="F432" s="67"/>
      <c r="G432" s="67"/>
      <c r="H432" s="67"/>
      <c r="I432" s="67"/>
      <c r="J432" s="67"/>
      <c r="K432" s="68"/>
      <c r="L432" s="66"/>
      <c r="M432" s="67"/>
      <c r="N432" s="67"/>
      <c r="O432" s="67"/>
      <c r="P432" s="67"/>
      <c r="Q432" s="67"/>
      <c r="R432" s="67"/>
      <c r="S432" s="67"/>
      <c r="T432" s="67"/>
      <c r="U432" s="67"/>
      <c r="V432" s="67"/>
      <c r="W432" s="67"/>
      <c r="X432" s="67"/>
      <c r="Y432" s="67"/>
      <c r="Z432" s="67"/>
      <c r="AA432" s="67"/>
      <c r="AB432" s="67"/>
      <c r="AC432" s="67"/>
      <c r="AD432" s="68"/>
    </row>
    <row r="433" spans="2:33" s="1" customFormat="1" x14ac:dyDescent="0.25" hidden="true">
      <c r="B433" s="66"/>
      <c r="C433" s="67"/>
      <c r="D433" s="67"/>
      <c r="E433" s="67"/>
      <c r="F433" s="67"/>
      <c r="G433" s="67"/>
      <c r="H433" s="67"/>
      <c r="I433" s="67"/>
      <c r="J433" s="67"/>
      <c r="K433" s="68"/>
      <c r="L433" s="66"/>
      <c r="M433" s="67"/>
      <c r="N433" s="67"/>
      <c r="O433" s="67"/>
      <c r="P433" s="67"/>
      <c r="Q433" s="67"/>
      <c r="R433" s="67"/>
      <c r="S433" s="67"/>
      <c r="T433" s="67"/>
      <c r="U433" s="67"/>
      <c r="V433" s="67"/>
      <c r="W433" s="67"/>
      <c r="X433" s="67"/>
      <c r="Y433" s="67"/>
      <c r="Z433" s="67"/>
      <c r="AA433" s="67"/>
      <c r="AB433" s="67"/>
      <c r="AC433" s="67"/>
      <c r="AD433" s="68"/>
    </row>
    <row r="434" spans="2:33" s="1" customFormat="1" ht="6.95" customHeight="1" x14ac:dyDescent="0.25" hidden="true">
      <c r="B434" s="69"/>
      <c r="C434" s="70"/>
      <c r="D434" s="70"/>
      <c r="E434" s="70"/>
      <c r="F434" s="70"/>
      <c r="G434" s="70"/>
      <c r="H434" s="70"/>
      <c r="I434" s="70"/>
      <c r="J434" s="70"/>
      <c r="K434" s="71"/>
      <c r="L434" s="69"/>
      <c r="M434" s="70"/>
      <c r="N434" s="70"/>
      <c r="O434" s="70"/>
      <c r="P434" s="70"/>
      <c r="Q434" s="70"/>
      <c r="R434" s="70"/>
      <c r="S434" s="70"/>
      <c r="T434" s="70"/>
      <c r="U434" s="70"/>
      <c r="V434" s="70"/>
      <c r="W434" s="70"/>
      <c r="X434" s="70"/>
      <c r="Y434" s="70"/>
      <c r="Z434" s="70"/>
      <c r="AA434" s="70"/>
      <c r="AB434" s="70"/>
      <c r="AC434" s="70"/>
      <c r="AD434" s="71"/>
    </row>
    <row r="435" spans="2:33" s="1" customFormat="1" x14ac:dyDescent="0.25" hidden="true">
      <c r="B435" s="60" t="s">
        <v>44</v>
      </c>
      <c r="C435" s="61"/>
      <c r="D435" s="61"/>
      <c r="E435" s="61"/>
      <c r="F435" s="61"/>
      <c r="G435" s="61"/>
      <c r="H435" s="61"/>
      <c r="I435" s="61"/>
      <c r="J435" s="61"/>
      <c r="K435" s="61"/>
      <c r="L435" s="61"/>
      <c r="M435" s="61"/>
      <c r="N435" s="61"/>
      <c r="O435" s="62"/>
      <c r="P435" s="60" t="s">
        <v>45</v>
      </c>
      <c r="Q435" s="61"/>
      <c r="R435" s="61"/>
      <c r="S435" s="61"/>
      <c r="T435" s="61"/>
      <c r="U435" s="61"/>
      <c r="V435" s="61"/>
      <c r="W435" s="61"/>
      <c r="X435" s="61"/>
      <c r="Y435" s="61"/>
      <c r="Z435" s="61"/>
      <c r="AA435" s="61"/>
      <c r="AB435" s="61"/>
      <c r="AC435" s="61"/>
      <c r="AD435" s="62"/>
    </row>
    <row r="436" spans="2:33" s="1" customFormat="1" ht="15" customHeight="1" x14ac:dyDescent="0.25" hidden="true">
      <c r="B436" s="63" t="str">
        <f>AG422</f>
        <v/>
      </c>
      <c r="C436" s="64"/>
      <c r="D436" s="64"/>
      <c r="E436" s="64"/>
      <c r="F436" s="64"/>
      <c r="G436" s="64"/>
      <c r="H436" s="64"/>
      <c r="I436" s="64"/>
      <c r="J436" s="64"/>
      <c r="K436" s="64"/>
      <c r="L436" s="64"/>
      <c r="M436" s="64"/>
      <c r="N436" s="64"/>
      <c r="O436" s="65"/>
      <c r="P436" s="63" t="str">
        <f>AG423</f>
        <v/>
      </c>
      <c r="Q436" s="64"/>
      <c r="R436" s="64"/>
      <c r="S436" s="64"/>
      <c r="T436" s="64"/>
      <c r="U436" s="64"/>
      <c r="V436" s="64"/>
      <c r="W436" s="64"/>
      <c r="X436" s="64"/>
      <c r="Y436" s="64"/>
      <c r="Z436" s="64"/>
      <c r="AA436" s="64"/>
      <c r="AB436" s="64"/>
      <c r="AC436" s="64"/>
      <c r="AD436" s="65"/>
    </row>
    <row r="437" spans="2:33" s="1" customFormat="1" ht="15" customHeight="1" x14ac:dyDescent="0.25" hidden="true">
      <c r="B437" s="66"/>
      <c r="C437" s="67"/>
      <c r="D437" s="67"/>
      <c r="E437" s="67"/>
      <c r="F437" s="67"/>
      <c r="G437" s="67"/>
      <c r="H437" s="67"/>
      <c r="I437" s="67"/>
      <c r="J437" s="67"/>
      <c r="K437" s="67"/>
      <c r="L437" s="67"/>
      <c r="M437" s="67"/>
      <c r="N437" s="67"/>
      <c r="O437" s="68"/>
      <c r="P437" s="66"/>
      <c r="Q437" s="67"/>
      <c r="R437" s="67"/>
      <c r="S437" s="67"/>
      <c r="T437" s="67"/>
      <c r="U437" s="67"/>
      <c r="V437" s="67"/>
      <c r="W437" s="67"/>
      <c r="X437" s="67"/>
      <c r="Y437" s="67"/>
      <c r="Z437" s="67"/>
      <c r="AA437" s="67"/>
      <c r="AB437" s="67"/>
      <c r="AC437" s="67"/>
      <c r="AD437" s="68"/>
    </row>
    <row r="438" spans="2:33" s="1" customFormat="1" x14ac:dyDescent="0.25" hidden="true">
      <c r="B438" s="66"/>
      <c r="C438" s="67"/>
      <c r="D438" s="67"/>
      <c r="E438" s="67"/>
      <c r="F438" s="67"/>
      <c r="G438" s="67"/>
      <c r="H438" s="67"/>
      <c r="I438" s="67"/>
      <c r="J438" s="67"/>
      <c r="K438" s="67"/>
      <c r="L438" s="67"/>
      <c r="M438" s="67"/>
      <c r="N438" s="67"/>
      <c r="O438" s="68"/>
      <c r="P438" s="66"/>
      <c r="Q438" s="67"/>
      <c r="R438" s="67"/>
      <c r="S438" s="67"/>
      <c r="T438" s="67"/>
      <c r="U438" s="67"/>
      <c r="V438" s="67"/>
      <c r="W438" s="67"/>
      <c r="X438" s="67"/>
      <c r="Y438" s="67"/>
      <c r="Z438" s="67"/>
      <c r="AA438" s="67"/>
      <c r="AB438" s="67"/>
      <c r="AC438" s="67"/>
      <c r="AD438" s="68"/>
    </row>
    <row r="439" spans="2:33" s="1" customFormat="1" x14ac:dyDescent="0.25" hidden="true">
      <c r="B439" s="69"/>
      <c r="C439" s="70"/>
      <c r="D439" s="70"/>
      <c r="E439" s="70"/>
      <c r="F439" s="70"/>
      <c r="G439" s="70"/>
      <c r="H439" s="70"/>
      <c r="I439" s="70"/>
      <c r="J439" s="70"/>
      <c r="K439" s="70"/>
      <c r="L439" s="70"/>
      <c r="M439" s="70"/>
      <c r="N439" s="70"/>
      <c r="O439" s="71"/>
      <c r="P439" s="69"/>
      <c r="Q439" s="70"/>
      <c r="R439" s="70"/>
      <c r="S439" s="70"/>
      <c r="T439" s="70"/>
      <c r="U439" s="70"/>
      <c r="V439" s="70"/>
      <c r="W439" s="70"/>
      <c r="X439" s="70"/>
      <c r="Y439" s="70"/>
      <c r="Z439" s="70"/>
      <c r="AA439" s="70"/>
      <c r="AB439" s="70"/>
      <c r="AC439" s="70"/>
      <c r="AD439" s="71"/>
    </row>
    <row r="440" spans="2:33" s="1" customFormat="1" x14ac:dyDescent="0.25" hidden="true">
      <c r="B440" s="60" t="s">
        <v>46</v>
      </c>
      <c r="C440" s="61"/>
      <c r="D440" s="61"/>
      <c r="E440" s="61"/>
      <c r="F440" s="61"/>
      <c r="G440" s="61"/>
      <c r="H440" s="61"/>
      <c r="I440" s="61"/>
      <c r="J440" s="61"/>
      <c r="K440" s="61"/>
      <c r="L440" s="61"/>
      <c r="M440" s="61"/>
      <c r="N440" s="61"/>
      <c r="O440" s="62"/>
      <c r="P440" s="60" t="s">
        <v>47</v>
      </c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2"/>
    </row>
    <row r="441" spans="2:33" s="1" customFormat="1" ht="15" customHeight="1" x14ac:dyDescent="0.25" hidden="true">
      <c r="B441" s="63" t="str">
        <f>AG424</f>
        <v/>
      </c>
      <c r="C441" s="64"/>
      <c r="D441" s="64"/>
      <c r="E441" s="64"/>
      <c r="F441" s="64"/>
      <c r="G441" s="64"/>
      <c r="H441" s="64"/>
      <c r="I441" s="64"/>
      <c r="J441" s="64"/>
      <c r="K441" s="64"/>
      <c r="L441" s="64"/>
      <c r="M441" s="64"/>
      <c r="N441" s="64"/>
      <c r="O441" s="65"/>
      <c r="P441" s="63" t="str">
        <f>AG425</f>
        <v/>
      </c>
      <c r="Q441" s="64"/>
      <c r="R441" s="64"/>
      <c r="S441" s="64"/>
      <c r="T441" s="64"/>
      <c r="U441" s="64"/>
      <c r="V441" s="64"/>
      <c r="W441" s="64"/>
      <c r="X441" s="64"/>
      <c r="Y441" s="64"/>
      <c r="Z441" s="64"/>
      <c r="AA441" s="64"/>
      <c r="AB441" s="64"/>
      <c r="AC441" s="64"/>
      <c r="AD441" s="65"/>
    </row>
    <row r="442" spans="2:33" s="1" customFormat="1" ht="15" customHeight="1" x14ac:dyDescent="0.25" hidden="true">
      <c r="B442" s="66"/>
      <c r="C442" s="67"/>
      <c r="D442" s="67"/>
      <c r="E442" s="67"/>
      <c r="F442" s="67"/>
      <c r="G442" s="67"/>
      <c r="H442" s="67"/>
      <c r="I442" s="67"/>
      <c r="J442" s="67"/>
      <c r="K442" s="67"/>
      <c r="L442" s="67"/>
      <c r="M442" s="67"/>
      <c r="N442" s="67"/>
      <c r="O442" s="68"/>
      <c r="P442" s="66"/>
      <c r="Q442" s="67"/>
      <c r="R442" s="67"/>
      <c r="S442" s="67"/>
      <c r="T442" s="67"/>
      <c r="U442" s="67"/>
      <c r="V442" s="67"/>
      <c r="W442" s="67"/>
      <c r="X442" s="67"/>
      <c r="Y442" s="67"/>
      <c r="Z442" s="67"/>
      <c r="AA442" s="67"/>
      <c r="AB442" s="67"/>
      <c r="AC442" s="67"/>
      <c r="AD442" s="68"/>
    </row>
    <row r="443" spans="2:33" s="1" customFormat="1" x14ac:dyDescent="0.25" hidden="true">
      <c r="B443" s="69"/>
      <c r="C443" s="70"/>
      <c r="D443" s="70"/>
      <c r="E443" s="70"/>
      <c r="F443" s="70"/>
      <c r="G443" s="70"/>
      <c r="H443" s="70"/>
      <c r="I443" s="70"/>
      <c r="J443" s="70"/>
      <c r="K443" s="70"/>
      <c r="L443" s="70"/>
      <c r="M443" s="70"/>
      <c r="N443" s="70"/>
      <c r="O443" s="71"/>
      <c r="P443" s="69"/>
      <c r="Q443" s="70"/>
      <c r="R443" s="70"/>
      <c r="S443" s="70"/>
      <c r="T443" s="70"/>
      <c r="U443" s="70"/>
      <c r="V443" s="70"/>
      <c r="W443" s="70"/>
      <c r="X443" s="70"/>
      <c r="Y443" s="70"/>
      <c r="Z443" s="70"/>
      <c r="AA443" s="70"/>
      <c r="AB443" s="70"/>
      <c r="AC443" s="70"/>
      <c r="AD443" s="71"/>
      <c r="AF443"/>
      <c r="AG443"/>
    </row>
    <row r="444" spans="2:33" s="1" customFormat="1" ht="6.95" customHeight="1" x14ac:dyDescent="0.25" hidden="true"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F444"/>
    </row>
    <row r="445" spans="2:33" s="56" customFormat="1" x14ac:dyDescent="0.25" hidden="true">
      <c r="B445" s="59" t="s">
        <v>577</v>
      </c>
      <c r="C445" s="59"/>
      <c r="D445" s="59"/>
      <c r="E445" s="59"/>
      <c r="F445" s="59"/>
      <c r="G445" s="59"/>
      <c r="H445" s="59"/>
      <c r="I445" s="59" t="s">
        <v>577</v>
      </c>
      <c r="J445" s="59"/>
      <c r="K445" s="59"/>
      <c r="L445" s="59"/>
      <c r="M445" s="59"/>
      <c r="N445" s="59"/>
      <c r="O445" s="59"/>
      <c r="P445" s="59" t="s">
        <v>577</v>
      </c>
      <c r="Q445" s="59"/>
      <c r="R445" s="59"/>
      <c r="S445" s="59"/>
      <c r="T445" s="59"/>
      <c r="U445" s="59"/>
      <c r="V445" s="59"/>
      <c r="W445" s="59" t="s">
        <v>577</v>
      </c>
      <c r="X445" s="59"/>
      <c r="Y445" s="59"/>
      <c r="Z445" s="59"/>
      <c r="AA445" s="59"/>
      <c r="AB445" s="59"/>
      <c r="AC445" s="59"/>
      <c r="AD445" s="58"/>
    </row>
    <row r="446" spans="2:33" s="56" customFormat="1" x14ac:dyDescent="0.25" hidden="true">
      <c r="B446" s="59"/>
      <c r="C446" s="59"/>
      <c r="D446" s="59"/>
      <c r="E446" s="59"/>
      <c r="F446" s="59"/>
      <c r="G446" s="59"/>
      <c r="H446" s="59"/>
      <c r="I446" s="59"/>
      <c r="J446" s="59"/>
      <c r="K446" s="59"/>
      <c r="L446" s="59"/>
      <c r="M446" s="59"/>
      <c r="N446" s="59"/>
      <c r="O446" s="59"/>
      <c r="P446" s="59"/>
      <c r="Q446" s="59"/>
      <c r="R446" s="59"/>
      <c r="S446" s="59"/>
      <c r="T446" s="59"/>
      <c r="U446" s="59"/>
      <c r="V446" s="59"/>
      <c r="W446" s="59"/>
      <c r="X446" s="59"/>
      <c r="Y446" s="59"/>
      <c r="Z446" s="59"/>
      <c r="AA446" s="59"/>
      <c r="AB446" s="59"/>
      <c r="AC446" s="59"/>
      <c r="AD446" s="58"/>
    </row>
    <row r="447" spans="2:33" s="56" customFormat="1" x14ac:dyDescent="0.25" hidden="true">
      <c r="B447" s="59"/>
      <c r="C447" s="59"/>
      <c r="D447" s="59"/>
      <c r="E447" s="59"/>
      <c r="F447" s="59"/>
      <c r="G447" s="59"/>
      <c r="H447" s="59"/>
      <c r="I447" s="59"/>
      <c r="J447" s="59"/>
      <c r="K447" s="59"/>
      <c r="L447" s="59"/>
      <c r="M447" s="59"/>
      <c r="N447" s="59"/>
      <c r="O447" s="59"/>
      <c r="P447" s="59"/>
      <c r="Q447" s="59"/>
      <c r="R447" s="59"/>
      <c r="S447" s="59"/>
      <c r="T447" s="59"/>
      <c r="U447" s="59"/>
      <c r="V447" s="59"/>
      <c r="W447" s="59"/>
      <c r="X447" s="59"/>
      <c r="Y447" s="59"/>
      <c r="Z447" s="59"/>
      <c r="AA447" s="59"/>
      <c r="AB447" s="59"/>
      <c r="AC447" s="59"/>
      <c r="AD447" s="58"/>
    </row>
    <row r="448" spans="2:33" s="56" customFormat="1" x14ac:dyDescent="0.25" hidden="true">
      <c r="B448" s="59"/>
      <c r="C448" s="59"/>
      <c r="D448" s="59"/>
      <c r="E448" s="59"/>
      <c r="F448" s="59"/>
      <c r="G448" s="59"/>
      <c r="H448" s="59"/>
      <c r="I448" s="59"/>
      <c r="J448" s="59"/>
      <c r="K448" s="59"/>
      <c r="L448" s="59"/>
      <c r="M448" s="59"/>
      <c r="N448" s="59"/>
      <c r="O448" s="59"/>
      <c r="P448" s="59"/>
      <c r="Q448" s="59"/>
      <c r="R448" s="59"/>
      <c r="S448" s="59"/>
      <c r="T448" s="59"/>
      <c r="U448" s="59"/>
      <c r="V448" s="59"/>
      <c r="W448" s="59"/>
      <c r="X448" s="59"/>
      <c r="Y448" s="59"/>
      <c r="Z448" s="59"/>
      <c r="AA448" s="59"/>
      <c r="AB448" s="59"/>
      <c r="AC448" s="59"/>
      <c r="AD448" s="58"/>
    </row>
    <row r="449" spans="2:30" s="56" customFormat="1" x14ac:dyDescent="0.25" hidden="true">
      <c r="B449" s="59"/>
      <c r="C449" s="59"/>
      <c r="D449" s="59"/>
      <c r="E449" s="59"/>
      <c r="F449" s="59"/>
      <c r="G449" s="59"/>
      <c r="H449" s="59"/>
      <c r="I449" s="59"/>
      <c r="J449" s="59"/>
      <c r="K449" s="59"/>
      <c r="L449" s="59"/>
      <c r="M449" s="59"/>
      <c r="N449" s="59"/>
      <c r="O449" s="59"/>
      <c r="P449" s="59"/>
      <c r="Q449" s="59"/>
      <c r="R449" s="59"/>
      <c r="S449" s="59"/>
      <c r="T449" s="59"/>
      <c r="U449" s="59"/>
      <c r="V449" s="59"/>
      <c r="W449" s="59"/>
      <c r="X449" s="59"/>
      <c r="Y449" s="59"/>
      <c r="Z449" s="59"/>
      <c r="AA449" s="59"/>
      <c r="AB449" s="59"/>
      <c r="AC449" s="59"/>
      <c r="AD449" s="58"/>
    </row>
    <row r="450" spans="2:30" s="56" customFormat="1" x14ac:dyDescent="0.25" hidden="true">
      <c r="B450" s="59"/>
      <c r="C450" s="59"/>
      <c r="D450" s="59"/>
      <c r="E450" s="59"/>
      <c r="F450" s="59"/>
      <c r="G450" s="59"/>
      <c r="H450" s="59"/>
      <c r="I450" s="59"/>
      <c r="J450" s="59"/>
      <c r="K450" s="59"/>
      <c r="L450" s="59"/>
      <c r="M450" s="59"/>
      <c r="N450" s="59"/>
      <c r="O450" s="59"/>
      <c r="P450" s="59"/>
      <c r="Q450" s="59"/>
      <c r="R450" s="59"/>
      <c r="S450" s="59"/>
      <c r="T450" s="59"/>
      <c r="U450" s="59"/>
      <c r="V450" s="59"/>
      <c r="W450" s="59"/>
      <c r="X450" s="59"/>
      <c r="Y450" s="59"/>
      <c r="Z450" s="59"/>
      <c r="AA450" s="59"/>
      <c r="AB450" s="59"/>
      <c r="AC450" s="59"/>
      <c r="AD450" s="58"/>
    </row>
    <row r="451" spans="2:30" s="44" customFormat="1" x14ac:dyDescent="0.25" hidden="true">
      <c r="B451" s="59"/>
      <c r="C451" s="59"/>
      <c r="D451" s="59"/>
      <c r="E451" s="59"/>
      <c r="F451" s="59"/>
      <c r="G451" s="59"/>
      <c r="H451" s="59"/>
      <c r="I451" s="59"/>
      <c r="J451" s="59"/>
      <c r="K451" s="59"/>
      <c r="L451" s="59"/>
      <c r="M451" s="59"/>
      <c r="N451" s="59"/>
      <c r="O451" s="59"/>
      <c r="P451" s="59"/>
      <c r="Q451" s="59"/>
      <c r="R451" s="59"/>
      <c r="S451" s="59"/>
      <c r="T451" s="59"/>
      <c r="U451" s="59"/>
      <c r="V451" s="59"/>
      <c r="W451" s="59"/>
      <c r="X451" s="59"/>
      <c r="Y451" s="59"/>
      <c r="Z451" s="59"/>
      <c r="AA451" s="59"/>
      <c r="AB451" s="59"/>
      <c r="AC451" s="59"/>
      <c r="AD451" s="58"/>
    </row>
    <row r="452" spans="2:30" s="44" customFormat="1" x14ac:dyDescent="0.25" hidden="true">
      <c r="B452" s="59" t="s">
        <v>577</v>
      </c>
      <c r="C452" s="59"/>
      <c r="D452" s="59"/>
      <c r="E452" s="59"/>
      <c r="F452" s="59"/>
      <c r="G452" s="59"/>
      <c r="H452" s="59"/>
      <c r="I452" s="59" t="s">
        <v>577</v>
      </c>
      <c r="J452" s="59"/>
      <c r="K452" s="59"/>
      <c r="L452" s="59"/>
      <c r="M452" s="59"/>
      <c r="N452" s="59"/>
      <c r="O452" s="59"/>
      <c r="P452" s="59" t="s">
        <v>577</v>
      </c>
      <c r="Q452" s="59"/>
      <c r="R452" s="59"/>
      <c r="S452" s="59"/>
      <c r="T452" s="59"/>
      <c r="U452" s="59"/>
      <c r="V452" s="59"/>
      <c r="W452" s="59" t="s">
        <v>577</v>
      </c>
      <c r="X452" s="59"/>
      <c r="Y452" s="59"/>
      <c r="Z452" s="59"/>
      <c r="AA452" s="59"/>
      <c r="AB452" s="59"/>
      <c r="AC452" s="59"/>
      <c r="AD452" s="58"/>
    </row>
    <row r="453" spans="2:30" s="44" customFormat="1" x14ac:dyDescent="0.25" hidden="true">
      <c r="B453" s="59"/>
      <c r="C453" s="59"/>
      <c r="D453" s="59"/>
      <c r="E453" s="59"/>
      <c r="F453" s="59"/>
      <c r="G453" s="59"/>
      <c r="H453" s="59"/>
      <c r="I453" s="59"/>
      <c r="J453" s="59"/>
      <c r="K453" s="59"/>
      <c r="L453" s="59"/>
      <c r="M453" s="59"/>
      <c r="N453" s="59"/>
      <c r="O453" s="59"/>
      <c r="P453" s="59"/>
      <c r="Q453" s="59"/>
      <c r="R453" s="59"/>
      <c r="S453" s="59"/>
      <c r="T453" s="59"/>
      <c r="U453" s="59"/>
      <c r="V453" s="59"/>
      <c r="W453" s="59"/>
      <c r="X453" s="59"/>
      <c r="Y453" s="59"/>
      <c r="Z453" s="59"/>
      <c r="AA453" s="59"/>
      <c r="AB453" s="59"/>
      <c r="AC453" s="59"/>
      <c r="AD453" s="58"/>
    </row>
    <row r="454" spans="2:30" s="44" customFormat="1" x14ac:dyDescent="0.25" hidden="true">
      <c r="B454" s="59"/>
      <c r="C454" s="59"/>
      <c r="D454" s="59"/>
      <c r="E454" s="59"/>
      <c r="F454" s="59"/>
      <c r="G454" s="59"/>
      <c r="H454" s="59"/>
      <c r="I454" s="59"/>
      <c r="J454" s="59"/>
      <c r="K454" s="59"/>
      <c r="L454" s="59"/>
      <c r="M454" s="59"/>
      <c r="N454" s="59"/>
      <c r="O454" s="59"/>
      <c r="P454" s="59"/>
      <c r="Q454" s="59"/>
      <c r="R454" s="59"/>
      <c r="S454" s="59"/>
      <c r="T454" s="59"/>
      <c r="U454" s="59"/>
      <c r="V454" s="59"/>
      <c r="W454" s="59"/>
      <c r="X454" s="59"/>
      <c r="Y454" s="59"/>
      <c r="Z454" s="59"/>
      <c r="AA454" s="59"/>
      <c r="AB454" s="59"/>
      <c r="AC454" s="59"/>
      <c r="AD454" s="58"/>
    </row>
    <row r="455" spans="2:30" s="44" customFormat="1" ht="6.95" customHeight="1" x14ac:dyDescent="0.25" hidden="true">
      <c r="B455" s="59"/>
      <c r="C455" s="59"/>
      <c r="D455" s="59"/>
      <c r="E455" s="59"/>
      <c r="F455" s="59"/>
      <c r="G455" s="59"/>
      <c r="H455" s="59"/>
      <c r="I455" s="59"/>
      <c r="J455" s="59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  <c r="W455" s="59"/>
      <c r="X455" s="59"/>
      <c r="Y455" s="59"/>
      <c r="Z455" s="59"/>
      <c r="AA455" s="59"/>
      <c r="AB455" s="59"/>
      <c r="AC455" s="59"/>
      <c r="AD455" s="21"/>
    </row>
    <row r="456" spans="2:30" s="44" customFormat="1" x14ac:dyDescent="0.25" hidden="true">
      <c r="B456" s="59"/>
      <c r="C456" s="59"/>
      <c r="D456" s="59"/>
      <c r="E456" s="59"/>
      <c r="F456" s="59"/>
      <c r="G456" s="59"/>
      <c r="H456" s="59"/>
      <c r="I456" s="59"/>
      <c r="J456" s="59"/>
      <c r="K456" s="59"/>
      <c r="L456" s="59"/>
      <c r="M456" s="59"/>
      <c r="N456" s="59"/>
      <c r="O456" s="59"/>
      <c r="P456" s="59"/>
      <c r="Q456" s="59"/>
      <c r="R456" s="59"/>
      <c r="S456" s="59"/>
      <c r="T456" s="59"/>
      <c r="U456" s="59"/>
      <c r="V456" s="59"/>
      <c r="W456" s="59"/>
      <c r="X456" s="59"/>
      <c r="Y456" s="59"/>
      <c r="Z456" s="59"/>
      <c r="AA456" s="59"/>
      <c r="AB456" s="59"/>
      <c r="AC456" s="59"/>
      <c r="AD456" s="58"/>
    </row>
    <row r="457" spans="2:30" s="44" customFormat="1" x14ac:dyDescent="0.25" hidden="true">
      <c r="B457" s="59"/>
      <c r="C457" s="59"/>
      <c r="D457" s="59"/>
      <c r="E457" s="59"/>
      <c r="F457" s="59"/>
      <c r="G457" s="59"/>
      <c r="H457" s="59"/>
      <c r="I457" s="59"/>
      <c r="J457" s="59"/>
      <c r="K457" s="59"/>
      <c r="L457" s="59"/>
      <c r="M457" s="59"/>
      <c r="N457" s="59"/>
      <c r="O457" s="59"/>
      <c r="P457" s="59"/>
      <c r="Q457" s="59"/>
      <c r="R457" s="59"/>
      <c r="S457" s="59"/>
      <c r="T457" s="59"/>
      <c r="U457" s="59"/>
      <c r="V457" s="59"/>
      <c r="W457" s="59"/>
      <c r="X457" s="59"/>
      <c r="Y457" s="59"/>
      <c r="Z457" s="59"/>
      <c r="AA457" s="59"/>
      <c r="AB457" s="59"/>
      <c r="AC457" s="59"/>
      <c r="AD457" s="58"/>
    </row>
    <row r="458" spans="2:30" s="44" customFormat="1" x14ac:dyDescent="0.25" hidden="true">
      <c r="B458" s="59"/>
      <c r="C458" s="59"/>
      <c r="D458" s="59"/>
      <c r="E458" s="59"/>
      <c r="F458" s="59"/>
      <c r="G458" s="59"/>
      <c r="H458" s="59"/>
      <c r="I458" s="59"/>
      <c r="J458" s="59"/>
      <c r="K458" s="59"/>
      <c r="L458" s="59"/>
      <c r="M458" s="59"/>
      <c r="N458" s="59"/>
      <c r="O458" s="59"/>
      <c r="P458" s="59"/>
      <c r="Q458" s="59"/>
      <c r="R458" s="59"/>
      <c r="S458" s="59"/>
      <c r="T458" s="59"/>
      <c r="U458" s="59"/>
      <c r="V458" s="59"/>
      <c r="W458" s="59"/>
      <c r="X458" s="59"/>
      <c r="Y458" s="59"/>
      <c r="Z458" s="59"/>
      <c r="AA458" s="59"/>
      <c r="AB458" s="59"/>
      <c r="AC458" s="59"/>
      <c r="AD458" s="58"/>
    </row>
    <row r="459" spans="2:30" s="44" customFormat="1" x14ac:dyDescent="0.25" hidden="true">
      <c r="B459" s="59" t="s">
        <v>577</v>
      </c>
      <c r="C459" s="59"/>
      <c r="D459" s="59"/>
      <c r="E459" s="59"/>
      <c r="F459" s="59"/>
      <c r="G459" s="59"/>
      <c r="H459" s="59"/>
      <c r="I459" s="59" t="s">
        <v>577</v>
      </c>
      <c r="J459" s="59"/>
      <c r="K459" s="59"/>
      <c r="L459" s="59"/>
      <c r="M459" s="59"/>
      <c r="N459" s="59"/>
      <c r="O459" s="59"/>
      <c r="P459" s="59" t="s">
        <v>577</v>
      </c>
      <c r="Q459" s="59"/>
      <c r="R459" s="59"/>
      <c r="S459" s="59"/>
      <c r="T459" s="59"/>
      <c r="U459" s="59"/>
      <c r="V459" s="59"/>
      <c r="W459" s="59" t="s">
        <v>577</v>
      </c>
      <c r="X459" s="59"/>
      <c r="Y459" s="59"/>
      <c r="Z459" s="59"/>
      <c r="AA459" s="59"/>
      <c r="AB459" s="59"/>
      <c r="AC459" s="59"/>
      <c r="AD459" s="58"/>
    </row>
    <row r="460" spans="2:30" s="44" customFormat="1" x14ac:dyDescent="0.25" hidden="true">
      <c r="B460" s="59"/>
      <c r="C460" s="59"/>
      <c r="D460" s="59"/>
      <c r="E460" s="59"/>
      <c r="F460" s="59"/>
      <c r="G460" s="59"/>
      <c r="H460" s="59"/>
      <c r="I460" s="59"/>
      <c r="J460" s="59"/>
      <c r="K460" s="59"/>
      <c r="L460" s="59"/>
      <c r="M460" s="59"/>
      <c r="N460" s="59"/>
      <c r="O460" s="59"/>
      <c r="P460" s="59"/>
      <c r="Q460" s="59"/>
      <c r="R460" s="59"/>
      <c r="S460" s="59"/>
      <c r="T460" s="59"/>
      <c r="U460" s="59"/>
      <c r="V460" s="59"/>
      <c r="W460" s="59"/>
      <c r="X460" s="59"/>
      <c r="Y460" s="59"/>
      <c r="Z460" s="59"/>
      <c r="AA460" s="59"/>
      <c r="AB460" s="59"/>
      <c r="AC460" s="59"/>
      <c r="AD460" s="58"/>
    </row>
    <row r="461" spans="2:30" s="44" customFormat="1" x14ac:dyDescent="0.25" hidden="true">
      <c r="B461" s="59"/>
      <c r="C461" s="59"/>
      <c r="D461" s="59"/>
      <c r="E461" s="59"/>
      <c r="F461" s="59"/>
      <c r="G461" s="59"/>
      <c r="H461" s="59"/>
      <c r="I461" s="59"/>
      <c r="J461" s="59"/>
      <c r="K461" s="59"/>
      <c r="L461" s="59"/>
      <c r="M461" s="59"/>
      <c r="N461" s="59"/>
      <c r="O461" s="59"/>
      <c r="P461" s="59"/>
      <c r="Q461" s="59"/>
      <c r="R461" s="59"/>
      <c r="S461" s="59"/>
      <c r="T461" s="59"/>
      <c r="U461" s="59"/>
      <c r="V461" s="59"/>
      <c r="W461" s="59"/>
      <c r="X461" s="59"/>
      <c r="Y461" s="59"/>
      <c r="Z461" s="59"/>
      <c r="AA461" s="59"/>
      <c r="AB461" s="59"/>
      <c r="AC461" s="59"/>
      <c r="AD461" s="58"/>
    </row>
    <row r="462" spans="2:30" s="44" customFormat="1" x14ac:dyDescent="0.25" hidden="true">
      <c r="B462" s="59"/>
      <c r="C462" s="59"/>
      <c r="D462" s="59"/>
      <c r="E462" s="59"/>
      <c r="F462" s="59"/>
      <c r="G462" s="59"/>
      <c r="H462" s="59"/>
      <c r="I462" s="59"/>
      <c r="J462" s="59"/>
      <c r="K462" s="59"/>
      <c r="L462" s="59"/>
      <c r="M462" s="59"/>
      <c r="N462" s="59"/>
      <c r="O462" s="59"/>
      <c r="P462" s="59"/>
      <c r="Q462" s="59"/>
      <c r="R462" s="59"/>
      <c r="S462" s="59"/>
      <c r="T462" s="59"/>
      <c r="U462" s="59"/>
      <c r="V462" s="59"/>
      <c r="W462" s="59"/>
      <c r="X462" s="59"/>
      <c r="Y462" s="59"/>
      <c r="Z462" s="59"/>
      <c r="AA462" s="59"/>
      <c r="AB462" s="59"/>
      <c r="AC462" s="59"/>
      <c r="AD462" s="58"/>
    </row>
    <row r="463" spans="2:30" s="44" customFormat="1" x14ac:dyDescent="0.25" hidden="true">
      <c r="B463" s="59"/>
      <c r="C463" s="59"/>
      <c r="D463" s="59"/>
      <c r="E463" s="59"/>
      <c r="F463" s="59"/>
      <c r="G463" s="59"/>
      <c r="H463" s="59"/>
      <c r="I463" s="59"/>
      <c r="J463" s="59"/>
      <c r="K463" s="59"/>
      <c r="L463" s="59"/>
      <c r="M463" s="59"/>
      <c r="N463" s="59"/>
      <c r="O463" s="59"/>
      <c r="P463" s="59"/>
      <c r="Q463" s="59"/>
      <c r="R463" s="59"/>
      <c r="S463" s="59"/>
      <c r="T463" s="59"/>
      <c r="U463" s="59"/>
      <c r="V463" s="59"/>
      <c r="W463" s="59"/>
      <c r="X463" s="59"/>
      <c r="Y463" s="59"/>
      <c r="Z463" s="59"/>
      <c r="AA463" s="59"/>
      <c r="AB463" s="59"/>
      <c r="AC463" s="59"/>
      <c r="AD463" s="58"/>
    </row>
    <row r="464" spans="2:30" s="44" customFormat="1" x14ac:dyDescent="0.25" hidden="true">
      <c r="B464" s="59"/>
      <c r="C464" s="59"/>
      <c r="D464" s="59"/>
      <c r="E464" s="59"/>
      <c r="F464" s="59"/>
      <c r="G464" s="59"/>
      <c r="H464" s="59"/>
      <c r="I464" s="59"/>
      <c r="J464" s="59"/>
      <c r="K464" s="59"/>
      <c r="L464" s="59"/>
      <c r="M464" s="59"/>
      <c r="N464" s="59"/>
      <c r="O464" s="59"/>
      <c r="P464" s="59"/>
      <c r="Q464" s="59"/>
      <c r="R464" s="59"/>
      <c r="S464" s="59"/>
      <c r="T464" s="59"/>
      <c r="U464" s="59"/>
      <c r="V464" s="59"/>
      <c r="W464" s="59"/>
      <c r="X464" s="59"/>
      <c r="Y464" s="59"/>
      <c r="Z464" s="59"/>
      <c r="AA464" s="59"/>
      <c r="AB464" s="59"/>
      <c r="AC464" s="59"/>
      <c r="AD464" s="58"/>
    </row>
    <row r="465" spans="2:34" s="44" customFormat="1" x14ac:dyDescent="0.25" hidden="true">
      <c r="B465" s="59"/>
      <c r="C465" s="59"/>
      <c r="D465" s="59"/>
      <c r="E465" s="59"/>
      <c r="F465" s="59"/>
      <c r="G465" s="59"/>
      <c r="H465" s="59"/>
      <c r="I465" s="59"/>
      <c r="J465" s="59"/>
      <c r="K465" s="59"/>
      <c r="L465" s="59"/>
      <c r="M465" s="59"/>
      <c r="N465" s="59"/>
      <c r="O465" s="59"/>
      <c r="P465" s="59"/>
      <c r="Q465" s="59"/>
      <c r="R465" s="59"/>
      <c r="S465" s="59"/>
      <c r="T465" s="59"/>
      <c r="U465" s="59"/>
      <c r="V465" s="59"/>
      <c r="W465" s="59"/>
      <c r="X465" s="59"/>
      <c r="Y465" s="59"/>
      <c r="Z465" s="59"/>
      <c r="AA465" s="59"/>
      <c r="AB465" s="59"/>
      <c r="AC465" s="59"/>
      <c r="AD465" s="58"/>
    </row>
    <row r="466" spans="2:34" s="1" customFormat="1" x14ac:dyDescent="0.25" hidden="true">
      <c r="B466" s="85" t="s">
        <v>223</v>
      </c>
      <c r="C466" s="85"/>
      <c r="D466" s="85"/>
      <c r="E466" s="85"/>
      <c r="F466" s="86"/>
      <c r="G466" s="86"/>
      <c r="H466" s="86"/>
      <c r="I466" s="86"/>
      <c r="J466" s="86"/>
      <c r="K466" s="86"/>
      <c r="L466" s="86"/>
      <c r="M466" s="86"/>
      <c r="N466" s="86"/>
      <c r="O466" s="86"/>
      <c r="P466" s="86"/>
      <c r="Q466" s="86"/>
      <c r="R466" s="86"/>
      <c r="S466" s="86"/>
      <c r="T466" s="85" t="s">
        <v>41</v>
      </c>
      <c r="U466" s="85"/>
      <c r="V466" s="85"/>
      <c r="W466" s="85"/>
      <c r="X466" s="85"/>
      <c r="Y466" s="85"/>
      <c r="Z466" s="85"/>
      <c r="AA466" s="85"/>
      <c r="AB466" s="85"/>
      <c r="AC466" s="86"/>
      <c r="AD466" s="86"/>
    </row>
    <row r="467" spans="2:34" s="1" customFormat="1" ht="15" customHeight="1" x14ac:dyDescent="0.25" hidden="true">
      <c r="B467" s="83"/>
      <c r="C467" s="83"/>
      <c r="D467" s="83"/>
      <c r="E467" s="83"/>
      <c r="F467" s="83"/>
      <c r="G467" s="83"/>
      <c r="H467" s="83"/>
      <c r="I467" s="83"/>
      <c r="J467" s="83"/>
      <c r="K467" s="83"/>
      <c r="L467" s="83"/>
      <c r="M467" s="83"/>
      <c r="N467" s="83"/>
      <c r="O467" s="83"/>
      <c r="P467" s="83"/>
      <c r="Q467" s="83"/>
      <c r="R467" s="83"/>
      <c r="S467" s="83"/>
      <c r="T467" s="83"/>
      <c r="U467" s="83"/>
      <c r="V467" s="83"/>
      <c r="W467" s="83"/>
      <c r="X467" s="83"/>
      <c r="Y467" s="83"/>
      <c r="Z467" s="83"/>
      <c r="AA467" s="83"/>
      <c r="AB467" s="83"/>
      <c r="AC467" s="83"/>
      <c r="AD467" s="83"/>
      <c r="AG467" s="1" t="str">
        <f>SUBSTITUTE(AH467,",","; ")</f>
        <v/>
      </c>
      <c r="AH467" s="1"/>
    </row>
    <row r="468" spans="2:34" s="1" customFormat="1" x14ac:dyDescent="0.25" hidden="true">
      <c r="B468" s="83"/>
      <c r="C468" s="83"/>
      <c r="D468" s="83"/>
      <c r="E468" s="83"/>
      <c r="F468" s="83"/>
      <c r="G468" s="83"/>
      <c r="H468" s="83"/>
      <c r="I468" s="83"/>
      <c r="J468" s="83"/>
      <c r="K468" s="83"/>
      <c r="L468" s="83"/>
      <c r="M468" s="83"/>
      <c r="N468" s="83"/>
      <c r="O468" s="83"/>
      <c r="P468" s="83"/>
      <c r="Q468" s="83"/>
      <c r="R468" s="83"/>
      <c r="S468" s="83"/>
      <c r="T468" s="83"/>
      <c r="U468" s="83"/>
      <c r="V468" s="83"/>
      <c r="W468" s="83"/>
      <c r="X468" s="83"/>
      <c r="Y468" s="83"/>
      <c r="Z468" s="83"/>
      <c r="AA468" s="83"/>
      <c r="AB468" s="83"/>
      <c r="AC468" s="83"/>
      <c r="AD468" s="83"/>
      <c r="AG468" s="1" t="str">
        <f t="shared" ref="AG468:AG476" si="9">SUBSTITUTE(AH468,",","; ")</f>
        <v/>
      </c>
      <c r="AH468" s="1"/>
    </row>
    <row r="469" spans="2:34" s="1" customFormat="1" ht="7.5" customHeight="1" x14ac:dyDescent="0.25" hidden="true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V469" s="2"/>
      <c r="W469" s="2"/>
      <c r="X469" s="2"/>
      <c r="Y469" s="2"/>
      <c r="Z469" s="2"/>
      <c r="AA469" s="2"/>
      <c r="AB469" s="2"/>
      <c r="AC469" s="2"/>
      <c r="AG469" s="1" t="str">
        <f t="shared" si="9"/>
        <v/>
      </c>
    </row>
    <row r="470" spans="2:34" s="1" customFormat="1" x14ac:dyDescent="0.25" hidden="true">
      <c r="B470" s="80"/>
      <c r="C470" s="81"/>
      <c r="D470" s="81"/>
      <c r="E470" s="81"/>
      <c r="F470" s="81"/>
      <c r="G470" s="81"/>
      <c r="H470" s="81"/>
      <c r="I470" s="81"/>
      <c r="J470" s="81"/>
      <c r="K470" s="82"/>
      <c r="L470" s="80"/>
      <c r="M470" s="81"/>
      <c r="N470" s="81"/>
      <c r="O470" s="81"/>
      <c r="P470" s="81"/>
      <c r="Q470" s="81"/>
      <c r="R470" s="81"/>
      <c r="S470" s="81"/>
      <c r="T470" s="81"/>
      <c r="U470" s="82"/>
      <c r="V470" s="80"/>
      <c r="W470" s="81"/>
      <c r="X470" s="81"/>
      <c r="Y470" s="81"/>
      <c r="Z470" s="81"/>
      <c r="AA470" s="81"/>
      <c r="AB470" s="81"/>
      <c r="AC470" s="81"/>
      <c r="AD470" s="82"/>
      <c r="AG470" s="1" t="str">
        <f t="shared" si="9"/>
        <v/>
      </c>
      <c r="AH470" s="1"/>
    </row>
    <row r="471" spans="2:34" s="1" customFormat="1" x14ac:dyDescent="0.25" hidden="true">
      <c r="B471" s="72" t="s">
        <v>42</v>
      </c>
      <c r="C471" s="73"/>
      <c r="D471" s="73"/>
      <c r="E471" s="73"/>
      <c r="F471" s="73"/>
      <c r="G471" s="73"/>
      <c r="H471" s="73"/>
      <c r="I471" s="74"/>
      <c r="J471" s="74"/>
      <c r="K471" s="32"/>
      <c r="L471" s="72" t="s">
        <v>42</v>
      </c>
      <c r="M471" s="73"/>
      <c r="N471" s="73"/>
      <c r="O471" s="73"/>
      <c r="P471" s="73"/>
      <c r="Q471" s="73"/>
      <c r="R471" s="73"/>
      <c r="S471" s="74"/>
      <c r="T471" s="74"/>
      <c r="U471" s="31"/>
      <c r="V471" s="30" t="s">
        <v>42</v>
      </c>
      <c r="W471" s="30"/>
      <c r="X471" s="30"/>
      <c r="Y471" s="30"/>
      <c r="Z471" s="30"/>
      <c r="AA471" s="30"/>
      <c r="AB471" s="55"/>
      <c r="AC471" s="74"/>
      <c r="AD471" s="84"/>
      <c r="AG471" s="1" t="str">
        <f t="shared" si="9"/>
        <v/>
      </c>
      <c r="AH471" s="1"/>
    </row>
    <row r="472" spans="2:34" s="1" customFormat="1" ht="15" customHeight="1" x14ac:dyDescent="0.25" hidden="true">
      <c r="B472" s="77" t="s">
        <v>43</v>
      </c>
      <c r="C472" s="78"/>
      <c r="D472" s="78"/>
      <c r="E472" s="78"/>
      <c r="F472" s="78"/>
      <c r="G472" s="78"/>
      <c r="H472" s="78"/>
      <c r="I472" s="78"/>
      <c r="J472" s="78"/>
      <c r="K472" s="79"/>
      <c r="L472" s="77" t="s">
        <v>43</v>
      </c>
      <c r="M472" s="78"/>
      <c r="N472" s="78"/>
      <c r="O472" s="78"/>
      <c r="P472" s="78"/>
      <c r="Q472" s="78"/>
      <c r="R472" s="78"/>
      <c r="S472" s="78"/>
      <c r="T472" s="78"/>
      <c r="U472" s="79"/>
      <c r="V472" s="77" t="s">
        <v>43</v>
      </c>
      <c r="W472" s="78"/>
      <c r="X472" s="78"/>
      <c r="Y472" s="78"/>
      <c r="Z472" s="78"/>
      <c r="AA472" s="78"/>
      <c r="AB472" s="78"/>
      <c r="AC472" s="78"/>
      <c r="AD472" s="79"/>
      <c r="AG472" s="1" t="str">
        <f t="shared" si="9"/>
        <v/>
      </c>
      <c r="AH472" s="1"/>
    </row>
    <row r="473" spans="2:34" s="1" customFormat="1" ht="15" customHeight="1" x14ac:dyDescent="0.25" hidden="true">
      <c r="B473" s="66" t="str">
        <f>AG467</f>
        <v/>
      </c>
      <c r="C473" s="67"/>
      <c r="D473" s="67"/>
      <c r="E473" s="67"/>
      <c r="F473" s="67"/>
      <c r="G473" s="67"/>
      <c r="H473" s="67"/>
      <c r="I473" s="67"/>
      <c r="J473" s="67"/>
      <c r="K473" s="68"/>
      <c r="L473" s="66" t="str">
        <f>AG468</f>
        <v/>
      </c>
      <c r="M473" s="67"/>
      <c r="N473" s="67"/>
      <c r="O473" s="67"/>
      <c r="P473" s="67"/>
      <c r="Q473" s="67"/>
      <c r="R473" s="67"/>
      <c r="S473" s="67"/>
      <c r="T473" s="67"/>
      <c r="U473" s="68"/>
      <c r="V473" s="66" t="str">
        <f>AG470</f>
        <v/>
      </c>
      <c r="W473" s="67"/>
      <c r="X473" s="67"/>
      <c r="Y473" s="67"/>
      <c r="Z473" s="67"/>
      <c r="AA473" s="67"/>
      <c r="AB473" s="67"/>
      <c r="AC473" s="67"/>
      <c r="AD473" s="68"/>
      <c r="AG473" s="1" t="str">
        <f t="shared" si="9"/>
        <v/>
      </c>
      <c r="AH473" s="1"/>
    </row>
    <row r="474" spans="2:34" s="1" customFormat="1" x14ac:dyDescent="0.25" hidden="true">
      <c r="B474" s="66"/>
      <c r="C474" s="67"/>
      <c r="D474" s="67"/>
      <c r="E474" s="67"/>
      <c r="F474" s="67"/>
      <c r="G474" s="67"/>
      <c r="H474" s="67"/>
      <c r="I474" s="67"/>
      <c r="J474" s="67"/>
      <c r="K474" s="68"/>
      <c r="L474" s="66"/>
      <c r="M474" s="67"/>
      <c r="N474" s="67"/>
      <c r="O474" s="67"/>
      <c r="P474" s="67"/>
      <c r="Q474" s="67"/>
      <c r="R474" s="67"/>
      <c r="S474" s="67"/>
      <c r="T474" s="67"/>
      <c r="U474" s="68"/>
      <c r="V474" s="66"/>
      <c r="W474" s="67"/>
      <c r="X474" s="67"/>
      <c r="Y474" s="67"/>
      <c r="Z474" s="67"/>
      <c r="AA474" s="67"/>
      <c r="AB474" s="67"/>
      <c r="AC474" s="67"/>
      <c r="AD474" s="68"/>
      <c r="AG474" s="1" t="str">
        <f t="shared" si="9"/>
        <v/>
      </c>
      <c r="AH474" s="1"/>
    </row>
    <row r="475" spans="2:34" s="1" customFormat="1" x14ac:dyDescent="0.25" hidden="true">
      <c r="B475" s="66"/>
      <c r="C475" s="67"/>
      <c r="D475" s="67"/>
      <c r="E475" s="67"/>
      <c r="F475" s="67"/>
      <c r="G475" s="67"/>
      <c r="H475" s="67"/>
      <c r="I475" s="67"/>
      <c r="J475" s="67"/>
      <c r="K475" s="68"/>
      <c r="L475" s="66"/>
      <c r="M475" s="67"/>
      <c r="N475" s="67"/>
      <c r="O475" s="67"/>
      <c r="P475" s="67"/>
      <c r="Q475" s="67"/>
      <c r="R475" s="67"/>
      <c r="S475" s="67"/>
      <c r="T475" s="67"/>
      <c r="U475" s="68"/>
      <c r="V475" s="66"/>
      <c r="W475" s="67"/>
      <c r="X475" s="67"/>
      <c r="Y475" s="67"/>
      <c r="Z475" s="67"/>
      <c r="AA475" s="67"/>
      <c r="AB475" s="67"/>
      <c r="AC475" s="67"/>
      <c r="AD475" s="68"/>
      <c r="AG475" s="1" t="str">
        <f t="shared" si="9"/>
        <v/>
      </c>
      <c r="AH475" s="57"/>
    </row>
    <row r="476" spans="2:34" s="1" customFormat="1" x14ac:dyDescent="0.25" hidden="true">
      <c r="B476" s="66"/>
      <c r="C476" s="67"/>
      <c r="D476" s="67"/>
      <c r="E476" s="67"/>
      <c r="F476" s="67"/>
      <c r="G476" s="67"/>
      <c r="H476" s="67"/>
      <c r="I476" s="67"/>
      <c r="J476" s="67"/>
      <c r="K476" s="68"/>
      <c r="L476" s="66"/>
      <c r="M476" s="67"/>
      <c r="N476" s="67"/>
      <c r="O476" s="67"/>
      <c r="P476" s="67"/>
      <c r="Q476" s="67"/>
      <c r="R476" s="67"/>
      <c r="S476" s="67"/>
      <c r="T476" s="67"/>
      <c r="U476" s="68"/>
      <c r="V476" s="66"/>
      <c r="W476" s="67"/>
      <c r="X476" s="67"/>
      <c r="Y476" s="67"/>
      <c r="Z476" s="67"/>
      <c r="AA476" s="67"/>
      <c r="AB476" s="67"/>
      <c r="AC476" s="67"/>
      <c r="AD476" s="68"/>
      <c r="AG476" s="1" t="str">
        <f t="shared" si="9"/>
        <v/>
      </c>
      <c r="AH476" s="57"/>
    </row>
    <row r="477" spans="2:34" s="1" customFormat="1" ht="6.95" customHeight="1" x14ac:dyDescent="0.25" hidden="true">
      <c r="B477" s="69"/>
      <c r="C477" s="70"/>
      <c r="D477" s="70"/>
      <c r="E477" s="70"/>
      <c r="F477" s="70"/>
      <c r="G477" s="70"/>
      <c r="H477" s="70"/>
      <c r="I477" s="70"/>
      <c r="J477" s="70"/>
      <c r="K477" s="71"/>
      <c r="L477" s="69"/>
      <c r="M477" s="70"/>
      <c r="N477" s="70"/>
      <c r="O477" s="70"/>
      <c r="P477" s="70"/>
      <c r="Q477" s="70"/>
      <c r="R477" s="70"/>
      <c r="S477" s="70"/>
      <c r="T477" s="70"/>
      <c r="U477" s="71"/>
      <c r="V477" s="69"/>
      <c r="W477" s="70"/>
      <c r="X477" s="70"/>
      <c r="Y477" s="70"/>
      <c r="Z477" s="70"/>
      <c r="AA477" s="70"/>
      <c r="AB477" s="70"/>
      <c r="AC477" s="70"/>
      <c r="AD477" s="71"/>
    </row>
    <row r="478" spans="2:34" s="1" customFormat="1" x14ac:dyDescent="0.25" hidden="true">
      <c r="B478" s="80"/>
      <c r="C478" s="81"/>
      <c r="D478" s="81"/>
      <c r="E478" s="81"/>
      <c r="F478" s="81"/>
      <c r="G478" s="81"/>
      <c r="H478" s="81"/>
      <c r="I478" s="81"/>
      <c r="J478" s="81"/>
      <c r="K478" s="82"/>
      <c r="L478" s="80"/>
      <c r="M478" s="81"/>
      <c r="N478" s="81"/>
      <c r="O478" s="81"/>
      <c r="P478" s="81"/>
      <c r="Q478" s="81"/>
      <c r="R478" s="81"/>
      <c r="S478" s="81"/>
      <c r="T478" s="81"/>
      <c r="U478" s="81"/>
      <c r="V478" s="81"/>
      <c r="W478" s="81"/>
      <c r="X478" s="81"/>
      <c r="Y478" s="81"/>
      <c r="Z478" s="81"/>
      <c r="AA478" s="81"/>
      <c r="AB478" s="81"/>
      <c r="AC478" s="81"/>
      <c r="AD478" s="82"/>
    </row>
    <row r="479" spans="2:34" s="1" customFormat="1" x14ac:dyDescent="0.25" hidden="true">
      <c r="B479" s="72" t="s">
        <v>42</v>
      </c>
      <c r="C479" s="73"/>
      <c r="D479" s="73"/>
      <c r="E479" s="73"/>
      <c r="F479" s="73"/>
      <c r="G479" s="73"/>
      <c r="H479" s="73"/>
      <c r="I479" s="74"/>
      <c r="J479" s="74"/>
      <c r="K479" s="32"/>
      <c r="L479" s="72" t="s">
        <v>42</v>
      </c>
      <c r="M479" s="73"/>
      <c r="N479" s="73"/>
      <c r="O479" s="73"/>
      <c r="P479" s="73"/>
      <c r="Q479" s="73"/>
      <c r="R479" s="73"/>
      <c r="S479" s="74"/>
      <c r="T479" s="74"/>
      <c r="U479" s="28"/>
      <c r="V479" s="35"/>
      <c r="W479" s="35"/>
      <c r="X479" s="35"/>
      <c r="Y479" s="35"/>
      <c r="Z479" s="35"/>
      <c r="AA479" s="35"/>
      <c r="AB479" s="35"/>
      <c r="AC479" s="75"/>
      <c r="AD479" s="76"/>
    </row>
    <row r="480" spans="2:34" s="1" customFormat="1" ht="15" customHeight="1" x14ac:dyDescent="0.25" hidden="true">
      <c r="B480" s="77" t="s">
        <v>43</v>
      </c>
      <c r="C480" s="78"/>
      <c r="D480" s="78"/>
      <c r="E480" s="78"/>
      <c r="F480" s="78"/>
      <c r="G480" s="78"/>
      <c r="H480" s="78"/>
      <c r="I480" s="78"/>
      <c r="J480" s="78"/>
      <c r="K480" s="79"/>
      <c r="L480" s="77" t="s">
        <v>43</v>
      </c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/>
      <c r="AA480" s="78"/>
      <c r="AB480" s="78"/>
      <c r="AC480" s="78"/>
      <c r="AD480" s="79"/>
    </row>
    <row r="481" spans="2:33" s="1" customFormat="1" ht="15" customHeight="1" x14ac:dyDescent="0.25" hidden="true">
      <c r="B481" s="66" t="str">
        <f>AG471</f>
        <v/>
      </c>
      <c r="C481" s="67"/>
      <c r="D481" s="67"/>
      <c r="E481" s="67"/>
      <c r="F481" s="67"/>
      <c r="G481" s="67"/>
      <c r="H481" s="67"/>
      <c r="I481" s="67"/>
      <c r="J481" s="67"/>
      <c r="K481" s="68"/>
      <c r="L481" s="66" t="str">
        <f>AG472</f>
        <v/>
      </c>
      <c r="M481" s="67"/>
      <c r="N481" s="67"/>
      <c r="O481" s="67"/>
      <c r="P481" s="67"/>
      <c r="Q481" s="67"/>
      <c r="R481" s="67"/>
      <c r="S481" s="67"/>
      <c r="T481" s="67"/>
      <c r="U481" s="67"/>
      <c r="V481" s="67"/>
      <c r="W481" s="67"/>
      <c r="X481" s="67"/>
      <c r="Y481" s="67"/>
      <c r="Z481" s="67"/>
      <c r="AA481" s="67"/>
      <c r="AB481" s="67"/>
      <c r="AC481" s="67"/>
      <c r="AD481" s="68"/>
    </row>
    <row r="482" spans="2:33" s="1" customFormat="1" x14ac:dyDescent="0.25" hidden="true">
      <c r="B482" s="66"/>
      <c r="C482" s="67"/>
      <c r="D482" s="67"/>
      <c r="E482" s="67"/>
      <c r="F482" s="67"/>
      <c r="G482" s="67"/>
      <c r="H482" s="67"/>
      <c r="I482" s="67"/>
      <c r="J482" s="67"/>
      <c r="K482" s="68"/>
      <c r="L482" s="66"/>
      <c r="M482" s="67"/>
      <c r="N482" s="67"/>
      <c r="O482" s="67"/>
      <c r="P482" s="67"/>
      <c r="Q482" s="67"/>
      <c r="R482" s="67"/>
      <c r="S482" s="67"/>
      <c r="T482" s="67"/>
      <c r="U482" s="67"/>
      <c r="V482" s="67"/>
      <c r="W482" s="67"/>
      <c r="X482" s="67"/>
      <c r="Y482" s="67"/>
      <c r="Z482" s="67"/>
      <c r="AA482" s="67"/>
      <c r="AB482" s="67"/>
      <c r="AC482" s="67"/>
      <c r="AD482" s="68"/>
    </row>
    <row r="483" spans="2:33" s="1" customFormat="1" x14ac:dyDescent="0.25" hidden="true">
      <c r="B483" s="66"/>
      <c r="C483" s="67"/>
      <c r="D483" s="67"/>
      <c r="E483" s="67"/>
      <c r="F483" s="67"/>
      <c r="G483" s="67"/>
      <c r="H483" s="67"/>
      <c r="I483" s="67"/>
      <c r="J483" s="67"/>
      <c r="K483" s="68"/>
      <c r="L483" s="66"/>
      <c r="M483" s="67"/>
      <c r="N483" s="67"/>
      <c r="O483" s="67"/>
      <c r="P483" s="67"/>
      <c r="Q483" s="67"/>
      <c r="R483" s="67"/>
      <c r="S483" s="67"/>
      <c r="T483" s="67"/>
      <c r="U483" s="67"/>
      <c r="V483" s="67"/>
      <c r="W483" s="67"/>
      <c r="X483" s="67"/>
      <c r="Y483" s="67"/>
      <c r="Z483" s="67"/>
      <c r="AA483" s="67"/>
      <c r="AB483" s="67"/>
      <c r="AC483" s="67"/>
      <c r="AD483" s="68"/>
    </row>
    <row r="484" spans="2:33" s="1" customFormat="1" x14ac:dyDescent="0.25" hidden="true">
      <c r="B484" s="66"/>
      <c r="C484" s="67"/>
      <c r="D484" s="67"/>
      <c r="E484" s="67"/>
      <c r="F484" s="67"/>
      <c r="G484" s="67"/>
      <c r="H484" s="67"/>
      <c r="I484" s="67"/>
      <c r="J484" s="67"/>
      <c r="K484" s="68"/>
      <c r="L484" s="66"/>
      <c r="M484" s="67"/>
      <c r="N484" s="67"/>
      <c r="O484" s="67"/>
      <c r="P484" s="67"/>
      <c r="Q484" s="67"/>
      <c r="R484" s="67"/>
      <c r="S484" s="67"/>
      <c r="T484" s="67"/>
      <c r="U484" s="67"/>
      <c r="V484" s="67"/>
      <c r="W484" s="67"/>
      <c r="X484" s="67"/>
      <c r="Y484" s="67"/>
      <c r="Z484" s="67"/>
      <c r="AA484" s="67"/>
      <c r="AB484" s="67"/>
      <c r="AC484" s="67"/>
      <c r="AD484" s="68"/>
    </row>
    <row r="485" spans="2:33" s="1" customFormat="1" ht="6.95" customHeight="1" x14ac:dyDescent="0.25" hidden="true">
      <c r="B485" s="69"/>
      <c r="C485" s="70"/>
      <c r="D485" s="70"/>
      <c r="E485" s="70"/>
      <c r="F485" s="70"/>
      <c r="G485" s="70"/>
      <c r="H485" s="70"/>
      <c r="I485" s="70"/>
      <c r="J485" s="70"/>
      <c r="K485" s="71"/>
      <c r="L485" s="69"/>
      <c r="M485" s="70"/>
      <c r="N485" s="70"/>
      <c r="O485" s="70"/>
      <c r="P485" s="70"/>
      <c r="Q485" s="70"/>
      <c r="R485" s="70"/>
      <c r="S485" s="70"/>
      <c r="T485" s="70"/>
      <c r="U485" s="70"/>
      <c r="V485" s="70"/>
      <c r="W485" s="70"/>
      <c r="X485" s="70"/>
      <c r="Y485" s="70"/>
      <c r="Z485" s="70"/>
      <c r="AA485" s="70"/>
      <c r="AB485" s="70"/>
      <c r="AC485" s="70"/>
      <c r="AD485" s="71"/>
    </row>
    <row r="486" spans="2:33" s="1" customFormat="1" x14ac:dyDescent="0.25" hidden="true">
      <c r="B486" s="60" t="s">
        <v>44</v>
      </c>
      <c r="C486" s="61"/>
      <c r="D486" s="61"/>
      <c r="E486" s="61"/>
      <c r="F486" s="61"/>
      <c r="G486" s="61"/>
      <c r="H486" s="61"/>
      <c r="I486" s="61"/>
      <c r="J486" s="61"/>
      <c r="K486" s="61"/>
      <c r="L486" s="61"/>
      <c r="M486" s="61"/>
      <c r="N486" s="61"/>
      <c r="O486" s="62"/>
      <c r="P486" s="60" t="s">
        <v>45</v>
      </c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2"/>
    </row>
    <row r="487" spans="2:33" s="1" customFormat="1" ht="15" customHeight="1" x14ac:dyDescent="0.25" hidden="true">
      <c r="B487" s="63" t="str">
        <f>AG473</f>
        <v/>
      </c>
      <c r="C487" s="64"/>
      <c r="D487" s="64"/>
      <c r="E487" s="64"/>
      <c r="F487" s="64"/>
      <c r="G487" s="64"/>
      <c r="H487" s="64"/>
      <c r="I487" s="64"/>
      <c r="J487" s="64"/>
      <c r="K487" s="64"/>
      <c r="L487" s="64"/>
      <c r="M487" s="64"/>
      <c r="N487" s="64"/>
      <c r="O487" s="65"/>
      <c r="P487" s="63" t="str">
        <f>AG474</f>
        <v/>
      </c>
      <c r="Q487" s="64"/>
      <c r="R487" s="64"/>
      <c r="S487" s="64"/>
      <c r="T487" s="64"/>
      <c r="U487" s="64"/>
      <c r="V487" s="64"/>
      <c r="W487" s="64"/>
      <c r="X487" s="64"/>
      <c r="Y487" s="64"/>
      <c r="Z487" s="64"/>
      <c r="AA487" s="64"/>
      <c r="AB487" s="64"/>
      <c r="AC487" s="64"/>
      <c r="AD487" s="65"/>
    </row>
    <row r="488" spans="2:33" s="1" customFormat="1" ht="15" customHeight="1" x14ac:dyDescent="0.25" hidden="true">
      <c r="B488" s="66"/>
      <c r="C488" s="67"/>
      <c r="D488" s="67"/>
      <c r="E488" s="67"/>
      <c r="F488" s="67"/>
      <c r="G488" s="67"/>
      <c r="H488" s="67"/>
      <c r="I488" s="67"/>
      <c r="J488" s="67"/>
      <c r="K488" s="67"/>
      <c r="L488" s="67"/>
      <c r="M488" s="67"/>
      <c r="N488" s="67"/>
      <c r="O488" s="68"/>
      <c r="P488" s="66"/>
      <c r="Q488" s="67"/>
      <c r="R488" s="67"/>
      <c r="S488" s="67"/>
      <c r="T488" s="67"/>
      <c r="U488" s="67"/>
      <c r="V488" s="67"/>
      <c r="W488" s="67"/>
      <c r="X488" s="67"/>
      <c r="Y488" s="67"/>
      <c r="Z488" s="67"/>
      <c r="AA488" s="67"/>
      <c r="AB488" s="67"/>
      <c r="AC488" s="67"/>
      <c r="AD488" s="68"/>
    </row>
    <row r="489" spans="2:33" s="1" customFormat="1" x14ac:dyDescent="0.25" hidden="true">
      <c r="B489" s="66"/>
      <c r="C489" s="67"/>
      <c r="D489" s="67"/>
      <c r="E489" s="67"/>
      <c r="F489" s="67"/>
      <c r="G489" s="67"/>
      <c r="H489" s="67"/>
      <c r="I489" s="67"/>
      <c r="J489" s="67"/>
      <c r="K489" s="67"/>
      <c r="L489" s="67"/>
      <c r="M489" s="67"/>
      <c r="N489" s="67"/>
      <c r="O489" s="68"/>
      <c r="P489" s="66"/>
      <c r="Q489" s="67"/>
      <c r="R489" s="67"/>
      <c r="S489" s="67"/>
      <c r="T489" s="67"/>
      <c r="U489" s="67"/>
      <c r="V489" s="67"/>
      <c r="W489" s="67"/>
      <c r="X489" s="67"/>
      <c r="Y489" s="67"/>
      <c r="Z489" s="67"/>
      <c r="AA489" s="67"/>
      <c r="AB489" s="67"/>
      <c r="AC489" s="67"/>
      <c r="AD489" s="68"/>
    </row>
    <row r="490" spans="2:33" s="1" customFormat="1" x14ac:dyDescent="0.25" hidden="true">
      <c r="B490" s="69"/>
      <c r="C490" s="70"/>
      <c r="D490" s="70"/>
      <c r="E490" s="70"/>
      <c r="F490" s="70"/>
      <c r="G490" s="70"/>
      <c r="H490" s="70"/>
      <c r="I490" s="70"/>
      <c r="J490" s="70"/>
      <c r="K490" s="70"/>
      <c r="L490" s="70"/>
      <c r="M490" s="70"/>
      <c r="N490" s="70"/>
      <c r="O490" s="71"/>
      <c r="P490" s="69"/>
      <c r="Q490" s="70"/>
      <c r="R490" s="70"/>
      <c r="S490" s="70"/>
      <c r="T490" s="70"/>
      <c r="U490" s="70"/>
      <c r="V490" s="70"/>
      <c r="W490" s="70"/>
      <c r="X490" s="70"/>
      <c r="Y490" s="70"/>
      <c r="Z490" s="70"/>
      <c r="AA490" s="70"/>
      <c r="AB490" s="70"/>
      <c r="AC490" s="70"/>
      <c r="AD490" s="71"/>
    </row>
    <row r="491" spans="2:33" s="1" customFormat="1" x14ac:dyDescent="0.25" hidden="true">
      <c r="B491" s="60" t="s">
        <v>46</v>
      </c>
      <c r="C491" s="61"/>
      <c r="D491" s="61"/>
      <c r="E491" s="61"/>
      <c r="F491" s="61"/>
      <c r="G491" s="61"/>
      <c r="H491" s="61"/>
      <c r="I491" s="61"/>
      <c r="J491" s="61"/>
      <c r="K491" s="61"/>
      <c r="L491" s="61"/>
      <c r="M491" s="61"/>
      <c r="N491" s="61"/>
      <c r="O491" s="62"/>
      <c r="P491" s="60" t="s">
        <v>47</v>
      </c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2"/>
    </row>
    <row r="492" spans="2:33" s="1" customFormat="1" ht="15" customHeight="1" x14ac:dyDescent="0.25" hidden="true">
      <c r="B492" s="63" t="str">
        <f>AG475</f>
        <v/>
      </c>
      <c r="C492" s="64"/>
      <c r="D492" s="64"/>
      <c r="E492" s="64"/>
      <c r="F492" s="64"/>
      <c r="G492" s="64"/>
      <c r="H492" s="64"/>
      <c r="I492" s="64"/>
      <c r="J492" s="64"/>
      <c r="K492" s="64"/>
      <c r="L492" s="64"/>
      <c r="M492" s="64"/>
      <c r="N492" s="64"/>
      <c r="O492" s="65"/>
      <c r="P492" s="63" t="str">
        <f>AG476</f>
        <v/>
      </c>
      <c r="Q492" s="64"/>
      <c r="R492" s="64"/>
      <c r="S492" s="64"/>
      <c r="T492" s="64"/>
      <c r="U492" s="64"/>
      <c r="V492" s="64"/>
      <c r="W492" s="64"/>
      <c r="X492" s="64"/>
      <c r="Y492" s="64"/>
      <c r="Z492" s="64"/>
      <c r="AA492" s="64"/>
      <c r="AB492" s="64"/>
      <c r="AC492" s="64"/>
      <c r="AD492" s="65"/>
    </row>
    <row r="493" spans="2:33" s="1" customFormat="1" ht="15" customHeight="1" x14ac:dyDescent="0.25" hidden="true">
      <c r="B493" s="66"/>
      <c r="C493" s="67"/>
      <c r="D493" s="67"/>
      <c r="E493" s="67"/>
      <c r="F493" s="67"/>
      <c r="G493" s="67"/>
      <c r="H493" s="67"/>
      <c r="I493" s="67"/>
      <c r="J493" s="67"/>
      <c r="K493" s="67"/>
      <c r="L493" s="67"/>
      <c r="M493" s="67"/>
      <c r="N493" s="67"/>
      <c r="O493" s="68"/>
      <c r="P493" s="66"/>
      <c r="Q493" s="67"/>
      <c r="R493" s="67"/>
      <c r="S493" s="67"/>
      <c r="T493" s="67"/>
      <c r="U493" s="67"/>
      <c r="V493" s="67"/>
      <c r="W493" s="67"/>
      <c r="X493" s="67"/>
      <c r="Y493" s="67"/>
      <c r="Z493" s="67"/>
      <c r="AA493" s="67"/>
      <c r="AB493" s="67"/>
      <c r="AC493" s="67"/>
      <c r="AD493" s="68"/>
    </row>
    <row r="494" spans="2:33" s="1" customFormat="1" x14ac:dyDescent="0.25" hidden="true">
      <c r="B494" s="69"/>
      <c r="C494" s="70"/>
      <c r="D494" s="70"/>
      <c r="E494" s="70"/>
      <c r="F494" s="70"/>
      <c r="G494" s="70"/>
      <c r="H494" s="70"/>
      <c r="I494" s="70"/>
      <c r="J494" s="70"/>
      <c r="K494" s="70"/>
      <c r="L494" s="70"/>
      <c r="M494" s="70"/>
      <c r="N494" s="70"/>
      <c r="O494" s="71"/>
      <c r="P494" s="69"/>
      <c r="Q494" s="70"/>
      <c r="R494" s="70"/>
      <c r="S494" s="70"/>
      <c r="T494" s="70"/>
      <c r="U494" s="70"/>
      <c r="V494" s="70"/>
      <c r="W494" s="70"/>
      <c r="X494" s="70"/>
      <c r="Y494" s="70"/>
      <c r="Z494" s="70"/>
      <c r="AA494" s="70"/>
      <c r="AB494" s="70"/>
      <c r="AC494" s="70"/>
      <c r="AD494" s="71"/>
      <c r="AF494"/>
      <c r="AG494"/>
    </row>
    <row r="495" spans="2:33" s="1" customFormat="1" ht="6.95" customHeight="1" x14ac:dyDescent="0.25" hidden="true"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F495"/>
    </row>
    <row r="496" spans="2:33" s="56" customFormat="1" x14ac:dyDescent="0.25" hidden="true">
      <c r="B496" s="59" t="s">
        <v>577</v>
      </c>
      <c r="C496" s="59"/>
      <c r="D496" s="59"/>
      <c r="E496" s="59"/>
      <c r="F496" s="59"/>
      <c r="G496" s="59"/>
      <c r="H496" s="59"/>
      <c r="I496" s="59" t="s">
        <v>577</v>
      </c>
      <c r="J496" s="59"/>
      <c r="K496" s="59"/>
      <c r="L496" s="59"/>
      <c r="M496" s="59"/>
      <c r="N496" s="59"/>
      <c r="O496" s="59"/>
      <c r="P496" s="59" t="s">
        <v>577</v>
      </c>
      <c r="Q496" s="59"/>
      <c r="R496" s="59"/>
      <c r="S496" s="59"/>
      <c r="T496" s="59"/>
      <c r="U496" s="59"/>
      <c r="V496" s="59"/>
      <c r="W496" s="59" t="s">
        <v>577</v>
      </c>
      <c r="X496" s="59"/>
      <c r="Y496" s="59"/>
      <c r="Z496" s="59"/>
      <c r="AA496" s="59"/>
      <c r="AB496" s="59"/>
      <c r="AC496" s="59"/>
      <c r="AD496" s="58"/>
    </row>
    <row r="497" spans="2:30" s="56" customFormat="1" x14ac:dyDescent="0.25" hidden="true">
      <c r="B497" s="59"/>
      <c r="C497" s="59"/>
      <c r="D497" s="59"/>
      <c r="E497" s="59"/>
      <c r="F497" s="59"/>
      <c r="G497" s="59"/>
      <c r="H497" s="59"/>
      <c r="I497" s="59"/>
      <c r="J497" s="59"/>
      <c r="K497" s="59"/>
      <c r="L497" s="59"/>
      <c r="M497" s="59"/>
      <c r="N497" s="59"/>
      <c r="O497" s="59"/>
      <c r="P497" s="59"/>
      <c r="Q497" s="59"/>
      <c r="R497" s="59"/>
      <c r="S497" s="59"/>
      <c r="T497" s="59"/>
      <c r="U497" s="59"/>
      <c r="V497" s="59"/>
      <c r="W497" s="59"/>
      <c r="X497" s="59"/>
      <c r="Y497" s="59"/>
      <c r="Z497" s="59"/>
      <c r="AA497" s="59"/>
      <c r="AB497" s="59"/>
      <c r="AC497" s="59"/>
      <c r="AD497" s="58"/>
    </row>
    <row r="498" spans="2:30" s="56" customFormat="1" x14ac:dyDescent="0.25" hidden="true">
      <c r="B498" s="59"/>
      <c r="C498" s="59"/>
      <c r="D498" s="59"/>
      <c r="E498" s="59"/>
      <c r="F498" s="59"/>
      <c r="G498" s="59"/>
      <c r="H498" s="59"/>
      <c r="I498" s="59"/>
      <c r="J498" s="59"/>
      <c r="K498" s="59"/>
      <c r="L498" s="59"/>
      <c r="M498" s="59"/>
      <c r="N498" s="59"/>
      <c r="O498" s="59"/>
      <c r="P498" s="59"/>
      <c r="Q498" s="59"/>
      <c r="R498" s="59"/>
      <c r="S498" s="59"/>
      <c r="T498" s="59"/>
      <c r="U498" s="59"/>
      <c r="V498" s="59"/>
      <c r="W498" s="59"/>
      <c r="X498" s="59"/>
      <c r="Y498" s="59"/>
      <c r="Z498" s="59"/>
      <c r="AA498" s="59"/>
      <c r="AB498" s="59"/>
      <c r="AC498" s="59"/>
      <c r="AD498" s="58"/>
    </row>
    <row r="499" spans="2:30" s="56" customFormat="1" x14ac:dyDescent="0.25" hidden="true">
      <c r="B499" s="59"/>
      <c r="C499" s="59"/>
      <c r="D499" s="59"/>
      <c r="E499" s="59"/>
      <c r="F499" s="59"/>
      <c r="G499" s="59"/>
      <c r="H499" s="59"/>
      <c r="I499" s="59"/>
      <c r="J499" s="59"/>
      <c r="K499" s="59"/>
      <c r="L499" s="59"/>
      <c r="M499" s="59"/>
      <c r="N499" s="59"/>
      <c r="O499" s="59"/>
      <c r="P499" s="59"/>
      <c r="Q499" s="59"/>
      <c r="R499" s="59"/>
      <c r="S499" s="59"/>
      <c r="T499" s="59"/>
      <c r="U499" s="59"/>
      <c r="V499" s="59"/>
      <c r="W499" s="59"/>
      <c r="X499" s="59"/>
      <c r="Y499" s="59"/>
      <c r="Z499" s="59"/>
      <c r="AA499" s="59"/>
      <c r="AB499" s="59"/>
      <c r="AC499" s="59"/>
      <c r="AD499" s="58"/>
    </row>
    <row r="500" spans="2:30" s="56" customFormat="1" x14ac:dyDescent="0.25" hidden="true">
      <c r="B500" s="59"/>
      <c r="C500" s="59"/>
      <c r="D500" s="59"/>
      <c r="E500" s="59"/>
      <c r="F500" s="59"/>
      <c r="G500" s="59"/>
      <c r="H500" s="59"/>
      <c r="I500" s="59"/>
      <c r="J500" s="59"/>
      <c r="K500" s="59"/>
      <c r="L500" s="59"/>
      <c r="M500" s="59"/>
      <c r="N500" s="59"/>
      <c r="O500" s="59"/>
      <c r="P500" s="59"/>
      <c r="Q500" s="59"/>
      <c r="R500" s="59"/>
      <c r="S500" s="59"/>
      <c r="T500" s="59"/>
      <c r="U500" s="59"/>
      <c r="V500" s="59"/>
      <c r="W500" s="59"/>
      <c r="X500" s="59"/>
      <c r="Y500" s="59"/>
      <c r="Z500" s="59"/>
      <c r="AA500" s="59"/>
      <c r="AB500" s="59"/>
      <c r="AC500" s="59"/>
      <c r="AD500" s="58"/>
    </row>
    <row r="501" spans="2:30" s="56" customFormat="1" x14ac:dyDescent="0.25" hidden="true">
      <c r="B501" s="59"/>
      <c r="C501" s="59"/>
      <c r="D501" s="59"/>
      <c r="E501" s="59"/>
      <c r="F501" s="59"/>
      <c r="G501" s="59"/>
      <c r="H501" s="59"/>
      <c r="I501" s="59"/>
      <c r="J501" s="59"/>
      <c r="K501" s="59"/>
      <c r="L501" s="59"/>
      <c r="M501" s="59"/>
      <c r="N501" s="59"/>
      <c r="O501" s="59"/>
      <c r="P501" s="59"/>
      <c r="Q501" s="59"/>
      <c r="R501" s="59"/>
      <c r="S501" s="59"/>
      <c r="T501" s="59"/>
      <c r="U501" s="59"/>
      <c r="V501" s="59"/>
      <c r="W501" s="59"/>
      <c r="X501" s="59"/>
      <c r="Y501" s="59"/>
      <c r="Z501" s="59"/>
      <c r="AA501" s="59"/>
      <c r="AB501" s="59"/>
      <c r="AC501" s="59"/>
      <c r="AD501" s="58"/>
    </row>
    <row r="502" spans="2:30" s="44" customFormat="1" x14ac:dyDescent="0.25" hidden="true">
      <c r="B502" s="59"/>
      <c r="C502" s="59"/>
      <c r="D502" s="59"/>
      <c r="E502" s="59"/>
      <c r="F502" s="59"/>
      <c r="G502" s="59"/>
      <c r="H502" s="59"/>
      <c r="I502" s="59"/>
      <c r="J502" s="59"/>
      <c r="K502" s="59"/>
      <c r="L502" s="59"/>
      <c r="M502" s="59"/>
      <c r="N502" s="59"/>
      <c r="O502" s="59"/>
      <c r="P502" s="59"/>
      <c r="Q502" s="59"/>
      <c r="R502" s="59"/>
      <c r="S502" s="59"/>
      <c r="T502" s="59"/>
      <c r="U502" s="59"/>
      <c r="V502" s="59"/>
      <c r="W502" s="59"/>
      <c r="X502" s="59"/>
      <c r="Y502" s="59"/>
      <c r="Z502" s="59"/>
      <c r="AA502" s="59"/>
      <c r="AB502" s="59"/>
      <c r="AC502" s="59"/>
      <c r="AD502" s="58"/>
    </row>
    <row r="503" spans="2:30" s="44" customFormat="1" x14ac:dyDescent="0.25" hidden="true">
      <c r="B503" s="59" t="s">
        <v>577</v>
      </c>
      <c r="C503" s="59"/>
      <c r="D503" s="59"/>
      <c r="E503" s="59"/>
      <c r="F503" s="59"/>
      <c r="G503" s="59"/>
      <c r="H503" s="59"/>
      <c r="I503" s="59" t="s">
        <v>577</v>
      </c>
      <c r="J503" s="59"/>
      <c r="K503" s="59"/>
      <c r="L503" s="59"/>
      <c r="M503" s="59"/>
      <c r="N503" s="59"/>
      <c r="O503" s="59"/>
      <c r="P503" s="59" t="s">
        <v>577</v>
      </c>
      <c r="Q503" s="59"/>
      <c r="R503" s="59"/>
      <c r="S503" s="59"/>
      <c r="T503" s="59"/>
      <c r="U503" s="59"/>
      <c r="V503" s="59"/>
      <c r="W503" s="59" t="s">
        <v>577</v>
      </c>
      <c r="X503" s="59"/>
      <c r="Y503" s="59"/>
      <c r="Z503" s="59"/>
      <c r="AA503" s="59"/>
      <c r="AB503" s="59"/>
      <c r="AC503" s="59"/>
      <c r="AD503" s="58"/>
    </row>
    <row r="504" spans="2:30" s="44" customFormat="1" x14ac:dyDescent="0.25" hidden="true">
      <c r="B504" s="59"/>
      <c r="C504" s="59"/>
      <c r="D504" s="59"/>
      <c r="E504" s="59"/>
      <c r="F504" s="59"/>
      <c r="G504" s="59"/>
      <c r="H504" s="59"/>
      <c r="I504" s="59"/>
      <c r="J504" s="59"/>
      <c r="K504" s="59"/>
      <c r="L504" s="59"/>
      <c r="M504" s="59"/>
      <c r="N504" s="59"/>
      <c r="O504" s="59"/>
      <c r="P504" s="59"/>
      <c r="Q504" s="59"/>
      <c r="R504" s="59"/>
      <c r="S504" s="59"/>
      <c r="T504" s="59"/>
      <c r="U504" s="59"/>
      <c r="V504" s="59"/>
      <c r="W504" s="59"/>
      <c r="X504" s="59"/>
      <c r="Y504" s="59"/>
      <c r="Z504" s="59"/>
      <c r="AA504" s="59"/>
      <c r="AB504" s="59"/>
      <c r="AC504" s="59"/>
      <c r="AD504" s="58"/>
    </row>
    <row r="505" spans="2:30" s="44" customFormat="1" x14ac:dyDescent="0.25" hidden="true">
      <c r="B505" s="59"/>
      <c r="C505" s="59"/>
      <c r="D505" s="59"/>
      <c r="E505" s="59"/>
      <c r="F505" s="59"/>
      <c r="G505" s="59"/>
      <c r="H505" s="59"/>
      <c r="I505" s="59"/>
      <c r="J505" s="59"/>
      <c r="K505" s="59"/>
      <c r="L505" s="59"/>
      <c r="M505" s="59"/>
      <c r="N505" s="59"/>
      <c r="O505" s="59"/>
      <c r="P505" s="59"/>
      <c r="Q505" s="59"/>
      <c r="R505" s="59"/>
      <c r="S505" s="59"/>
      <c r="T505" s="59"/>
      <c r="U505" s="59"/>
      <c r="V505" s="59"/>
      <c r="W505" s="59"/>
      <c r="X505" s="59"/>
      <c r="Y505" s="59"/>
      <c r="Z505" s="59"/>
      <c r="AA505" s="59"/>
      <c r="AB505" s="59"/>
      <c r="AC505" s="59"/>
      <c r="AD505" s="58"/>
    </row>
    <row r="506" spans="2:30" s="44" customFormat="1" ht="6.95" customHeight="1" x14ac:dyDescent="0.25" hidden="true">
      <c r="B506" s="59"/>
      <c r="C506" s="59"/>
      <c r="D506" s="59"/>
      <c r="E506" s="59"/>
      <c r="F506" s="59"/>
      <c r="G506" s="59"/>
      <c r="H506" s="59"/>
      <c r="I506" s="59"/>
      <c r="J506" s="59"/>
      <c r="K506" s="59"/>
      <c r="L506" s="59"/>
      <c r="M506" s="59"/>
      <c r="N506" s="59"/>
      <c r="O506" s="59"/>
      <c r="P506" s="59"/>
      <c r="Q506" s="59"/>
      <c r="R506" s="59"/>
      <c r="S506" s="59"/>
      <c r="T506" s="59"/>
      <c r="U506" s="59"/>
      <c r="V506" s="59"/>
      <c r="W506" s="59"/>
      <c r="X506" s="59"/>
      <c r="Y506" s="59"/>
      <c r="Z506" s="59"/>
      <c r="AA506" s="59"/>
      <c r="AB506" s="59"/>
      <c r="AC506" s="59"/>
      <c r="AD506" s="21"/>
    </row>
    <row r="507" spans="2:30" s="44" customFormat="1" x14ac:dyDescent="0.25" hidden="true">
      <c r="B507" s="59"/>
      <c r="C507" s="59"/>
      <c r="D507" s="59"/>
      <c r="E507" s="59"/>
      <c r="F507" s="59"/>
      <c r="G507" s="59"/>
      <c r="H507" s="59"/>
      <c r="I507" s="59"/>
      <c r="J507" s="59"/>
      <c r="K507" s="59"/>
      <c r="L507" s="59"/>
      <c r="M507" s="59"/>
      <c r="N507" s="59"/>
      <c r="O507" s="59"/>
      <c r="P507" s="59"/>
      <c r="Q507" s="59"/>
      <c r="R507" s="59"/>
      <c r="S507" s="59"/>
      <c r="T507" s="59"/>
      <c r="U507" s="59"/>
      <c r="V507" s="59"/>
      <c r="W507" s="59"/>
      <c r="X507" s="59"/>
      <c r="Y507" s="59"/>
      <c r="Z507" s="59"/>
      <c r="AA507" s="59"/>
      <c r="AB507" s="59"/>
      <c r="AC507" s="59"/>
      <c r="AD507" s="58"/>
    </row>
    <row r="508" spans="2:30" s="44" customFormat="1" x14ac:dyDescent="0.25" hidden="true">
      <c r="B508" s="59"/>
      <c r="C508" s="59"/>
      <c r="D508" s="59"/>
      <c r="E508" s="59"/>
      <c r="F508" s="59"/>
      <c r="G508" s="59"/>
      <c r="H508" s="59"/>
      <c r="I508" s="59"/>
      <c r="J508" s="59"/>
      <c r="K508" s="59"/>
      <c r="L508" s="59"/>
      <c r="M508" s="59"/>
      <c r="N508" s="59"/>
      <c r="O508" s="59"/>
      <c r="P508" s="59"/>
      <c r="Q508" s="59"/>
      <c r="R508" s="59"/>
      <c r="S508" s="59"/>
      <c r="T508" s="59"/>
      <c r="U508" s="59"/>
      <c r="V508" s="59"/>
      <c r="W508" s="59"/>
      <c r="X508" s="59"/>
      <c r="Y508" s="59"/>
      <c r="Z508" s="59"/>
      <c r="AA508" s="59"/>
      <c r="AB508" s="59"/>
      <c r="AC508" s="59"/>
      <c r="AD508" s="58"/>
    </row>
    <row r="509" spans="2:30" s="44" customFormat="1" x14ac:dyDescent="0.25" hidden="true">
      <c r="B509" s="59"/>
      <c r="C509" s="59"/>
      <c r="D509" s="59"/>
      <c r="E509" s="59"/>
      <c r="F509" s="59"/>
      <c r="G509" s="59"/>
      <c r="H509" s="59"/>
      <c r="I509" s="59"/>
      <c r="J509" s="59"/>
      <c r="K509" s="59"/>
      <c r="L509" s="59"/>
      <c r="M509" s="59"/>
      <c r="N509" s="59"/>
      <c r="O509" s="59"/>
      <c r="P509" s="59"/>
      <c r="Q509" s="59"/>
      <c r="R509" s="59"/>
      <c r="S509" s="59"/>
      <c r="T509" s="59"/>
      <c r="U509" s="59"/>
      <c r="V509" s="59"/>
      <c r="W509" s="59"/>
      <c r="X509" s="59"/>
      <c r="Y509" s="59"/>
      <c r="Z509" s="59"/>
      <c r="AA509" s="59"/>
      <c r="AB509" s="59"/>
      <c r="AC509" s="59"/>
      <c r="AD509" s="58"/>
    </row>
    <row r="510" spans="2:30" s="44" customFormat="1" x14ac:dyDescent="0.25" hidden="true">
      <c r="B510" s="59" t="s">
        <v>577</v>
      </c>
      <c r="C510" s="59"/>
      <c r="D510" s="59"/>
      <c r="E510" s="59"/>
      <c r="F510" s="59"/>
      <c r="G510" s="59"/>
      <c r="H510" s="59"/>
      <c r="I510" s="59" t="s">
        <v>577</v>
      </c>
      <c r="J510" s="59"/>
      <c r="K510" s="59"/>
      <c r="L510" s="59"/>
      <c r="M510" s="59"/>
      <c r="N510" s="59"/>
      <c r="O510" s="59"/>
      <c r="P510" s="59" t="s">
        <v>577</v>
      </c>
      <c r="Q510" s="59"/>
      <c r="R510" s="59"/>
      <c r="S510" s="59"/>
      <c r="T510" s="59"/>
      <c r="U510" s="59"/>
      <c r="V510" s="59"/>
      <c r="W510" s="59" t="s">
        <v>577</v>
      </c>
      <c r="X510" s="59"/>
      <c r="Y510" s="59"/>
      <c r="Z510" s="59"/>
      <c r="AA510" s="59"/>
      <c r="AB510" s="59"/>
      <c r="AC510" s="59"/>
      <c r="AD510" s="58"/>
    </row>
    <row r="511" spans="2:30" s="44" customFormat="1" x14ac:dyDescent="0.25" hidden="true">
      <c r="B511" s="59"/>
      <c r="C511" s="59"/>
      <c r="D511" s="59"/>
      <c r="E511" s="59"/>
      <c r="F511" s="59"/>
      <c r="G511" s="59"/>
      <c r="H511" s="59"/>
      <c r="I511" s="59"/>
      <c r="J511" s="59"/>
      <c r="K511" s="59"/>
      <c r="L511" s="59"/>
      <c r="M511" s="59"/>
      <c r="N511" s="59"/>
      <c r="O511" s="59"/>
      <c r="P511" s="59"/>
      <c r="Q511" s="59"/>
      <c r="R511" s="59"/>
      <c r="S511" s="59"/>
      <c r="T511" s="59"/>
      <c r="U511" s="59"/>
      <c r="V511" s="59"/>
      <c r="W511" s="59"/>
      <c r="X511" s="59"/>
      <c r="Y511" s="59"/>
      <c r="Z511" s="59"/>
      <c r="AA511" s="59"/>
      <c r="AB511" s="59"/>
      <c r="AC511" s="59"/>
      <c r="AD511" s="58"/>
    </row>
    <row r="512" spans="2:30" s="44" customFormat="1" x14ac:dyDescent="0.25" hidden="true">
      <c r="B512" s="59"/>
      <c r="C512" s="59"/>
      <c r="D512" s="59"/>
      <c r="E512" s="59"/>
      <c r="F512" s="59"/>
      <c r="G512" s="59"/>
      <c r="H512" s="59"/>
      <c r="I512" s="59"/>
      <c r="J512" s="59"/>
      <c r="K512" s="59"/>
      <c r="L512" s="59"/>
      <c r="M512" s="59"/>
      <c r="N512" s="59"/>
      <c r="O512" s="59"/>
      <c r="P512" s="59"/>
      <c r="Q512" s="59"/>
      <c r="R512" s="59"/>
      <c r="S512" s="59"/>
      <c r="T512" s="59"/>
      <c r="U512" s="59"/>
      <c r="V512" s="59"/>
      <c r="W512" s="59"/>
      <c r="X512" s="59"/>
      <c r="Y512" s="59"/>
      <c r="Z512" s="59"/>
      <c r="AA512" s="59"/>
      <c r="AB512" s="59"/>
      <c r="AC512" s="59"/>
      <c r="AD512" s="58"/>
    </row>
    <row r="513" spans="2:30" s="44" customFormat="1" x14ac:dyDescent="0.25" hidden="true">
      <c r="B513" s="59"/>
      <c r="C513" s="59"/>
      <c r="D513" s="59"/>
      <c r="E513" s="59"/>
      <c r="F513" s="59"/>
      <c r="G513" s="59"/>
      <c r="H513" s="59"/>
      <c r="I513" s="59"/>
      <c r="J513" s="59"/>
      <c r="K513" s="59"/>
      <c r="L513" s="59"/>
      <c r="M513" s="59"/>
      <c r="N513" s="59"/>
      <c r="O513" s="59"/>
      <c r="P513" s="59"/>
      <c r="Q513" s="59"/>
      <c r="R513" s="59"/>
      <c r="S513" s="59"/>
      <c r="T513" s="59"/>
      <c r="U513" s="59"/>
      <c r="V513" s="59"/>
      <c r="W513" s="59"/>
      <c r="X513" s="59"/>
      <c r="Y513" s="59"/>
      <c r="Z513" s="59"/>
      <c r="AA513" s="59"/>
      <c r="AB513" s="59"/>
      <c r="AC513" s="59"/>
      <c r="AD513" s="58"/>
    </row>
    <row r="514" spans="2:30" s="44" customFormat="1" x14ac:dyDescent="0.25" hidden="true">
      <c r="B514" s="59"/>
      <c r="C514" s="59"/>
      <c r="D514" s="59"/>
      <c r="E514" s="59"/>
      <c r="F514" s="59"/>
      <c r="G514" s="59"/>
      <c r="H514" s="59"/>
      <c r="I514" s="59"/>
      <c r="J514" s="59"/>
      <c r="K514" s="59"/>
      <c r="L514" s="59"/>
      <c r="M514" s="59"/>
      <c r="N514" s="59"/>
      <c r="O514" s="59"/>
      <c r="P514" s="59"/>
      <c r="Q514" s="59"/>
      <c r="R514" s="59"/>
      <c r="S514" s="59"/>
      <c r="T514" s="59"/>
      <c r="U514" s="59"/>
      <c r="V514" s="59"/>
      <c r="W514" s="59"/>
      <c r="X514" s="59"/>
      <c r="Y514" s="59"/>
      <c r="Z514" s="59"/>
      <c r="AA514" s="59"/>
      <c r="AB514" s="59"/>
      <c r="AC514" s="59"/>
      <c r="AD514" s="58"/>
    </row>
    <row r="515" spans="2:30" s="44" customFormat="1" x14ac:dyDescent="0.25" hidden="true">
      <c r="B515" s="59"/>
      <c r="C515" s="59"/>
      <c r="D515" s="59"/>
      <c r="E515" s="59"/>
      <c r="F515" s="59"/>
      <c r="G515" s="59"/>
      <c r="H515" s="59"/>
      <c r="I515" s="59"/>
      <c r="J515" s="59"/>
      <c r="K515" s="59"/>
      <c r="L515" s="59"/>
      <c r="M515" s="59"/>
      <c r="N515" s="59"/>
      <c r="O515" s="59"/>
      <c r="P515" s="59"/>
      <c r="Q515" s="59"/>
      <c r="R515" s="59"/>
      <c r="S515" s="59"/>
      <c r="T515" s="59"/>
      <c r="U515" s="59"/>
      <c r="V515" s="59"/>
      <c r="W515" s="59"/>
      <c r="X515" s="59"/>
      <c r="Y515" s="59"/>
      <c r="Z515" s="59"/>
      <c r="AA515" s="59"/>
      <c r="AB515" s="59"/>
      <c r="AC515" s="59"/>
      <c r="AD515" s="58"/>
    </row>
    <row r="516" spans="2:30" s="44" customFormat="1" x14ac:dyDescent="0.25" hidden="true">
      <c r="B516" s="59"/>
      <c r="C516" s="59"/>
      <c r="D516" s="59"/>
      <c r="E516" s="59"/>
      <c r="F516" s="59"/>
      <c r="G516" s="59"/>
      <c r="H516" s="59"/>
      <c r="I516" s="59"/>
      <c r="J516" s="59"/>
      <c r="K516" s="59"/>
      <c r="L516" s="59"/>
      <c r="M516" s="59"/>
      <c r="N516" s="59"/>
      <c r="O516" s="59"/>
      <c r="P516" s="59"/>
      <c r="Q516" s="59"/>
      <c r="R516" s="59"/>
      <c r="S516" s="59"/>
      <c r="T516" s="59"/>
      <c r="U516" s="59"/>
      <c r="V516" s="59"/>
      <c r="W516" s="59"/>
      <c r="X516" s="59"/>
      <c r="Y516" s="59"/>
      <c r="Z516" s="59"/>
      <c r="AA516" s="59"/>
      <c r="AB516" s="59"/>
      <c r="AC516" s="59"/>
      <c r="AD516" s="58"/>
    </row>
  </sheetData>
  <mergeCells count="546">
    <mergeCell ref="B12:H12"/>
    <mergeCell ref="I12:J12"/>
    <mergeCell ref="L12:R12"/>
    <mergeCell ref="S12:T12"/>
    <mergeCell ref="AC12:AD12"/>
    <mergeCell ref="B32:O32"/>
    <mergeCell ref="B33:O35"/>
    <mergeCell ref="P28:AD31"/>
    <mergeCell ref="P33:AD35"/>
    <mergeCell ref="B13:K13"/>
    <mergeCell ref="L13:U13"/>
    <mergeCell ref="V13:AD13"/>
    <mergeCell ref="I20:J20"/>
    <mergeCell ref="L20:R20"/>
    <mergeCell ref="S20:T20"/>
    <mergeCell ref="AC20:AD20"/>
    <mergeCell ref="B14:K18"/>
    <mergeCell ref="L14:U18"/>
    <mergeCell ref="V14:AD18"/>
    <mergeCell ref="B19:K19"/>
    <mergeCell ref="L19:U19"/>
    <mergeCell ref="V19:AD19"/>
    <mergeCell ref="B20:H20"/>
    <mergeCell ref="B1:N1"/>
    <mergeCell ref="O1:AD1"/>
    <mergeCell ref="V2:W2"/>
    <mergeCell ref="U3:W3"/>
    <mergeCell ref="X3:AD3"/>
    <mergeCell ref="U4:W4"/>
    <mergeCell ref="X4:AD4"/>
    <mergeCell ref="B8:AD9"/>
    <mergeCell ref="B11:K11"/>
    <mergeCell ref="L11:U11"/>
    <mergeCell ref="V11:AD11"/>
    <mergeCell ref="AC7:AD7"/>
    <mergeCell ref="B7:E7"/>
    <mergeCell ref="F7:S7"/>
    <mergeCell ref="B2:E2"/>
    <mergeCell ref="B3:E3"/>
    <mergeCell ref="B5:E5"/>
    <mergeCell ref="F4:T4"/>
    <mergeCell ref="F5:T5"/>
    <mergeCell ref="F3:T3"/>
    <mergeCell ref="F2:T2"/>
    <mergeCell ref="X2:AD2"/>
    <mergeCell ref="T7:AB7"/>
    <mergeCell ref="B4:E4"/>
    <mergeCell ref="B146:H152"/>
    <mergeCell ref="I146:O152"/>
    <mergeCell ref="P146:V152"/>
    <mergeCell ref="W146:AC152"/>
    <mergeCell ref="B153:H159"/>
    <mergeCell ref="I153:O159"/>
    <mergeCell ref="P153:V159"/>
    <mergeCell ref="W153:AC159"/>
    <mergeCell ref="B28:O31"/>
    <mergeCell ref="B116:K120"/>
    <mergeCell ref="L116:U120"/>
    <mergeCell ref="V116:AD120"/>
    <mergeCell ref="B121:K121"/>
    <mergeCell ref="L121:U121"/>
    <mergeCell ref="V121:AD121"/>
    <mergeCell ref="B115:K115"/>
    <mergeCell ref="L115:U115"/>
    <mergeCell ref="V115:AD115"/>
    <mergeCell ref="V62:AD62"/>
    <mergeCell ref="B63:H63"/>
    <mergeCell ref="I63:J63"/>
    <mergeCell ref="L63:R63"/>
    <mergeCell ref="S63:T63"/>
    <mergeCell ref="AC63:AD63"/>
    <mergeCell ref="P134:AD134"/>
    <mergeCell ref="B135:O137"/>
    <mergeCell ref="P135:AD137"/>
    <mergeCell ref="B129:O129"/>
    <mergeCell ref="P129:AD129"/>
    <mergeCell ref="B130:O133"/>
    <mergeCell ref="P130:AD133"/>
    <mergeCell ref="B139:H145"/>
    <mergeCell ref="I139:O145"/>
    <mergeCell ref="P139:V145"/>
    <mergeCell ref="W139:AC145"/>
    <mergeCell ref="B180:O180"/>
    <mergeCell ref="P180:AD180"/>
    <mergeCell ref="B181:O184"/>
    <mergeCell ref="P181:AD184"/>
    <mergeCell ref="B185:O185"/>
    <mergeCell ref="P185:AD185"/>
    <mergeCell ref="B186:O188"/>
    <mergeCell ref="P186:AD188"/>
    <mergeCell ref="B190:H196"/>
    <mergeCell ref="I190:O196"/>
    <mergeCell ref="P190:V196"/>
    <mergeCell ref="W190:AC196"/>
    <mergeCell ref="B174:K174"/>
    <mergeCell ref="L174:U174"/>
    <mergeCell ref="V174:AD174"/>
    <mergeCell ref="B175:K179"/>
    <mergeCell ref="L175:U179"/>
    <mergeCell ref="V175:AD179"/>
    <mergeCell ref="V21:AD21"/>
    <mergeCell ref="B22:K26"/>
    <mergeCell ref="L22:U26"/>
    <mergeCell ref="V22:AD26"/>
    <mergeCell ref="B21:K21"/>
    <mergeCell ref="L21:U21"/>
    <mergeCell ref="P32:AD32"/>
    <mergeCell ref="B27:O27"/>
    <mergeCell ref="P27:AD27"/>
    <mergeCell ref="B160:E160"/>
    <mergeCell ref="F160:S160"/>
    <mergeCell ref="T160:AB160"/>
    <mergeCell ref="B59:AD60"/>
    <mergeCell ref="B62:K62"/>
    <mergeCell ref="L62:U62"/>
    <mergeCell ref="AC160:AD160"/>
    <mergeCell ref="B161:AD162"/>
    <mergeCell ref="B134:O134"/>
    <mergeCell ref="B83:O83"/>
    <mergeCell ref="P83:AD83"/>
    <mergeCell ref="B84:O86"/>
    <mergeCell ref="P84:AD86"/>
    <mergeCell ref="B72:K72"/>
    <mergeCell ref="L72:U72"/>
    <mergeCell ref="V72:AD72"/>
    <mergeCell ref="B73:K77"/>
    <mergeCell ref="L73:U77"/>
    <mergeCell ref="V73:AD77"/>
    <mergeCell ref="B78:O78"/>
    <mergeCell ref="P78:AD78"/>
    <mergeCell ref="B58:E58"/>
    <mergeCell ref="F58:S58"/>
    <mergeCell ref="T58:AB58"/>
    <mergeCell ref="AC58:AD58"/>
    <mergeCell ref="B65:K69"/>
    <mergeCell ref="L65:U69"/>
    <mergeCell ref="V65:AD69"/>
    <mergeCell ref="B79:O82"/>
    <mergeCell ref="P79:AD82"/>
    <mergeCell ref="V70:AD70"/>
    <mergeCell ref="B71:H71"/>
    <mergeCell ref="I71:J71"/>
    <mergeCell ref="L71:R71"/>
    <mergeCell ref="S71:T71"/>
    <mergeCell ref="AC71:AD71"/>
    <mergeCell ref="B64:K64"/>
    <mergeCell ref="L64:U64"/>
    <mergeCell ref="V64:AD64"/>
    <mergeCell ref="B70:K70"/>
    <mergeCell ref="L70:U70"/>
    <mergeCell ref="B109:E109"/>
    <mergeCell ref="F109:S109"/>
    <mergeCell ref="T109:AB109"/>
    <mergeCell ref="AC109:AD109"/>
    <mergeCell ref="B110:AD111"/>
    <mergeCell ref="B113:K113"/>
    <mergeCell ref="L113:U113"/>
    <mergeCell ref="V113:AD113"/>
    <mergeCell ref="B114:H114"/>
    <mergeCell ref="I114:J114"/>
    <mergeCell ref="L114:R114"/>
    <mergeCell ref="S114:T114"/>
    <mergeCell ref="AC114:AD114"/>
    <mergeCell ref="B122:H122"/>
    <mergeCell ref="I122:J122"/>
    <mergeCell ref="L122:R122"/>
    <mergeCell ref="S122:T122"/>
    <mergeCell ref="AC122:AD122"/>
    <mergeCell ref="B123:K123"/>
    <mergeCell ref="L123:U123"/>
    <mergeCell ref="V123:AD123"/>
    <mergeCell ref="B124:K128"/>
    <mergeCell ref="L124:U128"/>
    <mergeCell ref="V124:AD128"/>
    <mergeCell ref="B164:K164"/>
    <mergeCell ref="L164:U164"/>
    <mergeCell ref="V164:AD164"/>
    <mergeCell ref="B165:H165"/>
    <mergeCell ref="I165:J165"/>
    <mergeCell ref="L165:R165"/>
    <mergeCell ref="S165:T165"/>
    <mergeCell ref="AC165:AD165"/>
    <mergeCell ref="B166:K166"/>
    <mergeCell ref="L166:U166"/>
    <mergeCell ref="V166:AD166"/>
    <mergeCell ref="B167:K171"/>
    <mergeCell ref="L167:U171"/>
    <mergeCell ref="V167:AD171"/>
    <mergeCell ref="B172:K172"/>
    <mergeCell ref="L172:U172"/>
    <mergeCell ref="V172:AD172"/>
    <mergeCell ref="B173:H173"/>
    <mergeCell ref="I173:J173"/>
    <mergeCell ref="L173:R173"/>
    <mergeCell ref="S173:T173"/>
    <mergeCell ref="AC173:AD173"/>
    <mergeCell ref="B211:E211"/>
    <mergeCell ref="F211:S211"/>
    <mergeCell ref="T211:AB211"/>
    <mergeCell ref="AC211:AD211"/>
    <mergeCell ref="B212:AD213"/>
    <mergeCell ref="B215:K215"/>
    <mergeCell ref="L215:U215"/>
    <mergeCell ref="V215:AD215"/>
    <mergeCell ref="B197:H203"/>
    <mergeCell ref="I197:O203"/>
    <mergeCell ref="P197:V203"/>
    <mergeCell ref="W197:AC203"/>
    <mergeCell ref="B204:H210"/>
    <mergeCell ref="I204:O210"/>
    <mergeCell ref="P204:V210"/>
    <mergeCell ref="W204:AC210"/>
    <mergeCell ref="B216:H216"/>
    <mergeCell ref="I216:J216"/>
    <mergeCell ref="L216:R216"/>
    <mergeCell ref="S216:T216"/>
    <mergeCell ref="AC216:AD216"/>
    <mergeCell ref="B217:K217"/>
    <mergeCell ref="L217:U217"/>
    <mergeCell ref="V217:AD217"/>
    <mergeCell ref="B218:K222"/>
    <mergeCell ref="L218:U222"/>
    <mergeCell ref="V218:AD222"/>
    <mergeCell ref="B223:K223"/>
    <mergeCell ref="L223:U223"/>
    <mergeCell ref="V223:AD223"/>
    <mergeCell ref="B224:H224"/>
    <mergeCell ref="I224:J224"/>
    <mergeCell ref="L224:R224"/>
    <mergeCell ref="S224:T224"/>
    <mergeCell ref="AC224:AD224"/>
    <mergeCell ref="B225:K225"/>
    <mergeCell ref="L225:U225"/>
    <mergeCell ref="V225:AD225"/>
    <mergeCell ref="B226:K230"/>
    <mergeCell ref="L226:U230"/>
    <mergeCell ref="V226:AD230"/>
    <mergeCell ref="B231:O231"/>
    <mergeCell ref="P231:AD231"/>
    <mergeCell ref="B232:O235"/>
    <mergeCell ref="P232:AD235"/>
    <mergeCell ref="B236:O236"/>
    <mergeCell ref="P236:AD236"/>
    <mergeCell ref="B237:O239"/>
    <mergeCell ref="P237:AD239"/>
    <mergeCell ref="B262:E262"/>
    <mergeCell ref="F262:S262"/>
    <mergeCell ref="T262:AB262"/>
    <mergeCell ref="AC262:AD262"/>
    <mergeCell ref="B241:H247"/>
    <mergeCell ref="I241:O247"/>
    <mergeCell ref="P241:V247"/>
    <mergeCell ref="W241:AC247"/>
    <mergeCell ref="B248:H254"/>
    <mergeCell ref="I248:O254"/>
    <mergeCell ref="P248:V254"/>
    <mergeCell ref="W248:AC254"/>
    <mergeCell ref="B255:H261"/>
    <mergeCell ref="I255:O261"/>
    <mergeCell ref="P255:V261"/>
    <mergeCell ref="W255:AC261"/>
    <mergeCell ref="B263:AD264"/>
    <mergeCell ref="B266:K266"/>
    <mergeCell ref="L266:U266"/>
    <mergeCell ref="V266:AD266"/>
    <mergeCell ref="B267:H267"/>
    <mergeCell ref="I267:J267"/>
    <mergeCell ref="L267:R267"/>
    <mergeCell ref="S267:T267"/>
    <mergeCell ref="AC267:AD267"/>
    <mergeCell ref="B268:K268"/>
    <mergeCell ref="L268:U268"/>
    <mergeCell ref="V268:AD268"/>
    <mergeCell ref="B269:K273"/>
    <mergeCell ref="L269:U273"/>
    <mergeCell ref="V269:AD273"/>
    <mergeCell ref="B274:K274"/>
    <mergeCell ref="L274:U274"/>
    <mergeCell ref="V274:AD274"/>
    <mergeCell ref="B275:H275"/>
    <mergeCell ref="I275:J275"/>
    <mergeCell ref="L275:R275"/>
    <mergeCell ref="S275:T275"/>
    <mergeCell ref="AC275:AD275"/>
    <mergeCell ref="B276:K276"/>
    <mergeCell ref="L276:U276"/>
    <mergeCell ref="V276:AD276"/>
    <mergeCell ref="B277:K281"/>
    <mergeCell ref="L277:U281"/>
    <mergeCell ref="V277:AD281"/>
    <mergeCell ref="B282:O282"/>
    <mergeCell ref="P282:AD282"/>
    <mergeCell ref="B283:O286"/>
    <mergeCell ref="P283:AD286"/>
    <mergeCell ref="B287:O287"/>
    <mergeCell ref="P287:AD287"/>
    <mergeCell ref="B288:O290"/>
    <mergeCell ref="P288:AD290"/>
    <mergeCell ref="B292:H298"/>
    <mergeCell ref="I292:O298"/>
    <mergeCell ref="P292:V298"/>
    <mergeCell ref="W292:AC298"/>
    <mergeCell ref="B313:E313"/>
    <mergeCell ref="F313:S313"/>
    <mergeCell ref="T313:AB313"/>
    <mergeCell ref="AC313:AD313"/>
    <mergeCell ref="B314:AD315"/>
    <mergeCell ref="B317:K317"/>
    <mergeCell ref="L317:U317"/>
    <mergeCell ref="V317:AD317"/>
    <mergeCell ref="B299:H305"/>
    <mergeCell ref="I299:O305"/>
    <mergeCell ref="P299:V305"/>
    <mergeCell ref="W299:AC305"/>
    <mergeCell ref="B306:H312"/>
    <mergeCell ref="I306:O312"/>
    <mergeCell ref="P306:V312"/>
    <mergeCell ref="W306:AC312"/>
    <mergeCell ref="B318:H318"/>
    <mergeCell ref="I318:J318"/>
    <mergeCell ref="L318:R318"/>
    <mergeCell ref="S318:T318"/>
    <mergeCell ref="AC318:AD318"/>
    <mergeCell ref="B319:K319"/>
    <mergeCell ref="L319:U319"/>
    <mergeCell ref="V319:AD319"/>
    <mergeCell ref="B320:K324"/>
    <mergeCell ref="L320:U324"/>
    <mergeCell ref="V320:AD324"/>
    <mergeCell ref="B325:K325"/>
    <mergeCell ref="L325:U325"/>
    <mergeCell ref="V325:AD325"/>
    <mergeCell ref="B326:H326"/>
    <mergeCell ref="I326:J326"/>
    <mergeCell ref="L326:R326"/>
    <mergeCell ref="S326:T326"/>
    <mergeCell ref="AC326:AD326"/>
    <mergeCell ref="B327:K327"/>
    <mergeCell ref="L327:U327"/>
    <mergeCell ref="V327:AD327"/>
    <mergeCell ref="B328:K332"/>
    <mergeCell ref="L328:U332"/>
    <mergeCell ref="V328:AD332"/>
    <mergeCell ref="B333:O333"/>
    <mergeCell ref="P333:AD333"/>
    <mergeCell ref="B334:O337"/>
    <mergeCell ref="P334:AD337"/>
    <mergeCell ref="B338:O338"/>
    <mergeCell ref="P338:AD338"/>
    <mergeCell ref="B339:O341"/>
    <mergeCell ref="P339:AD341"/>
    <mergeCell ref="B364:E364"/>
    <mergeCell ref="F364:S364"/>
    <mergeCell ref="T364:AB364"/>
    <mergeCell ref="AC364:AD364"/>
    <mergeCell ref="B343:H349"/>
    <mergeCell ref="I343:O349"/>
    <mergeCell ref="P343:V349"/>
    <mergeCell ref="W343:AC349"/>
    <mergeCell ref="B350:H356"/>
    <mergeCell ref="I350:O356"/>
    <mergeCell ref="P350:V356"/>
    <mergeCell ref="W350:AC356"/>
    <mergeCell ref="B357:H363"/>
    <mergeCell ref="I357:O363"/>
    <mergeCell ref="P357:V363"/>
    <mergeCell ref="W357:AC363"/>
    <mergeCell ref="B365:AD366"/>
    <mergeCell ref="B368:K368"/>
    <mergeCell ref="L368:U368"/>
    <mergeCell ref="V368:AD368"/>
    <mergeCell ref="B369:H369"/>
    <mergeCell ref="I369:J369"/>
    <mergeCell ref="L369:R369"/>
    <mergeCell ref="S369:T369"/>
    <mergeCell ref="AC369:AD369"/>
    <mergeCell ref="B370:K370"/>
    <mergeCell ref="L370:U370"/>
    <mergeCell ref="V370:AD370"/>
    <mergeCell ref="B371:K375"/>
    <mergeCell ref="L371:U375"/>
    <mergeCell ref="V371:AD375"/>
    <mergeCell ref="B376:K376"/>
    <mergeCell ref="L376:U376"/>
    <mergeCell ref="V376:AD376"/>
    <mergeCell ref="B377:H377"/>
    <mergeCell ref="I377:J377"/>
    <mergeCell ref="L377:R377"/>
    <mergeCell ref="S377:T377"/>
    <mergeCell ref="AC377:AD377"/>
    <mergeCell ref="B378:K378"/>
    <mergeCell ref="L378:U378"/>
    <mergeCell ref="V378:AD378"/>
    <mergeCell ref="B379:K383"/>
    <mergeCell ref="L379:U383"/>
    <mergeCell ref="V379:AD383"/>
    <mergeCell ref="B384:O384"/>
    <mergeCell ref="P384:AD384"/>
    <mergeCell ref="B385:O388"/>
    <mergeCell ref="P385:AD388"/>
    <mergeCell ref="B389:O389"/>
    <mergeCell ref="P389:AD389"/>
    <mergeCell ref="B390:O392"/>
    <mergeCell ref="P390:AD392"/>
    <mergeCell ref="B394:H400"/>
    <mergeCell ref="I394:O400"/>
    <mergeCell ref="P394:V400"/>
    <mergeCell ref="W394:AC400"/>
    <mergeCell ref="B415:E415"/>
    <mergeCell ref="F415:S415"/>
    <mergeCell ref="T415:AB415"/>
    <mergeCell ref="AC415:AD415"/>
    <mergeCell ref="B416:AD417"/>
    <mergeCell ref="B419:K419"/>
    <mergeCell ref="L419:U419"/>
    <mergeCell ref="V419:AD419"/>
    <mergeCell ref="B401:H407"/>
    <mergeCell ref="I401:O407"/>
    <mergeCell ref="P401:V407"/>
    <mergeCell ref="W401:AC407"/>
    <mergeCell ref="B408:H414"/>
    <mergeCell ref="I408:O414"/>
    <mergeCell ref="P408:V414"/>
    <mergeCell ref="W408:AC414"/>
    <mergeCell ref="B420:H420"/>
    <mergeCell ref="I420:J420"/>
    <mergeCell ref="L420:R420"/>
    <mergeCell ref="S420:T420"/>
    <mergeCell ref="AC420:AD420"/>
    <mergeCell ref="B421:K421"/>
    <mergeCell ref="L421:U421"/>
    <mergeCell ref="V421:AD421"/>
    <mergeCell ref="B422:K426"/>
    <mergeCell ref="L422:U426"/>
    <mergeCell ref="V422:AD426"/>
    <mergeCell ref="B427:K427"/>
    <mergeCell ref="L427:U427"/>
    <mergeCell ref="V427:AD427"/>
    <mergeCell ref="B428:H428"/>
    <mergeCell ref="I428:J428"/>
    <mergeCell ref="L428:R428"/>
    <mergeCell ref="S428:T428"/>
    <mergeCell ref="AC428:AD428"/>
    <mergeCell ref="B429:K429"/>
    <mergeCell ref="L429:U429"/>
    <mergeCell ref="V429:AD429"/>
    <mergeCell ref="B430:K434"/>
    <mergeCell ref="L430:U434"/>
    <mergeCell ref="V430:AD434"/>
    <mergeCell ref="B435:O435"/>
    <mergeCell ref="P435:AD435"/>
    <mergeCell ref="B436:O439"/>
    <mergeCell ref="P436:AD439"/>
    <mergeCell ref="B440:O440"/>
    <mergeCell ref="P440:AD440"/>
    <mergeCell ref="AC471:AD471"/>
    <mergeCell ref="B441:O443"/>
    <mergeCell ref="P441:AD443"/>
    <mergeCell ref="B466:E466"/>
    <mergeCell ref="F466:S466"/>
    <mergeCell ref="T466:AB466"/>
    <mergeCell ref="AC466:AD466"/>
    <mergeCell ref="B445:H451"/>
    <mergeCell ref="I445:O451"/>
    <mergeCell ref="P445:V451"/>
    <mergeCell ref="W445:AC451"/>
    <mergeCell ref="B452:H458"/>
    <mergeCell ref="I452:O458"/>
    <mergeCell ref="P452:V458"/>
    <mergeCell ref="W452:AC458"/>
    <mergeCell ref="B459:H465"/>
    <mergeCell ref="I459:O465"/>
    <mergeCell ref="P459:V465"/>
    <mergeCell ref="W459:AC465"/>
    <mergeCell ref="B503:H509"/>
    <mergeCell ref="I503:O509"/>
    <mergeCell ref="P503:V509"/>
    <mergeCell ref="W503:AC509"/>
    <mergeCell ref="B510:H516"/>
    <mergeCell ref="I510:O516"/>
    <mergeCell ref="P510:V516"/>
    <mergeCell ref="W510:AC516"/>
    <mergeCell ref="B479:H479"/>
    <mergeCell ref="I479:J479"/>
    <mergeCell ref="L479:R479"/>
    <mergeCell ref="S479:T479"/>
    <mergeCell ref="AC479:AD479"/>
    <mergeCell ref="B480:K480"/>
    <mergeCell ref="L480:U480"/>
    <mergeCell ref="V480:AD480"/>
    <mergeCell ref="B481:K485"/>
    <mergeCell ref="L481:U485"/>
    <mergeCell ref="V481:AD485"/>
    <mergeCell ref="B486:O486"/>
    <mergeCell ref="P486:AD486"/>
    <mergeCell ref="B487:O490"/>
    <mergeCell ref="P487:AD490"/>
    <mergeCell ref="B491:O491"/>
    <mergeCell ref="B496:H502"/>
    <mergeCell ref="I496:O502"/>
    <mergeCell ref="P496:V502"/>
    <mergeCell ref="W496:AC502"/>
    <mergeCell ref="B37:H43"/>
    <mergeCell ref="B44:H50"/>
    <mergeCell ref="B51:H57"/>
    <mergeCell ref="W37:AC43"/>
    <mergeCell ref="I37:O43"/>
    <mergeCell ref="I44:O50"/>
    <mergeCell ref="I51:O57"/>
    <mergeCell ref="W44:AC50"/>
    <mergeCell ref="P37:V43"/>
    <mergeCell ref="P44:V50"/>
    <mergeCell ref="P51:V57"/>
    <mergeCell ref="W51:AC57"/>
    <mergeCell ref="B88:H94"/>
    <mergeCell ref="B95:H101"/>
    <mergeCell ref="B102:H108"/>
    <mergeCell ref="W88:AC94"/>
    <mergeCell ref="I95:O101"/>
    <mergeCell ref="B472:K472"/>
    <mergeCell ref="L472:U472"/>
    <mergeCell ref="V472:AD472"/>
    <mergeCell ref="P95:V101"/>
    <mergeCell ref="W95:AC101"/>
    <mergeCell ref="I102:O108"/>
    <mergeCell ref="P102:V108"/>
    <mergeCell ref="W102:AC108"/>
    <mergeCell ref="I88:O94"/>
    <mergeCell ref="P88:V94"/>
    <mergeCell ref="P491:AD491"/>
    <mergeCell ref="B492:O494"/>
    <mergeCell ref="P492:AD494"/>
    <mergeCell ref="B473:K477"/>
    <mergeCell ref="L473:U477"/>
    <mergeCell ref="V473:AD477"/>
    <mergeCell ref="B478:K478"/>
    <mergeCell ref="L478:U478"/>
    <mergeCell ref="V478:AD478"/>
    <mergeCell ref="B467:AD468"/>
    <mergeCell ref="B470:K470"/>
    <mergeCell ref="L470:U470"/>
    <mergeCell ref="V470:AD470"/>
    <mergeCell ref="B471:H471"/>
    <mergeCell ref="I471:J471"/>
    <mergeCell ref="L471:R471"/>
    <mergeCell ref="S471:T471"/>
  </mergeCells>
  <conditionalFormatting sqref="AC7 AC3 B1:K1 V2:AC2 U3:V3 B2 B6:K6 B4:K4 R6 R1 B3:D3 T7 F2:F3 R4 B8:K36 R8:R36">
    <cfRule type="cellIs" dxfId="42" priority="157" operator="equal">
      <formula>0</formula>
    </cfRule>
  </conditionalFormatting>
  <conditionalFormatting sqref="AC58 T58 B59:K87 R59:R87">
    <cfRule type="cellIs" dxfId="41" priority="114" operator="equal">
      <formula>0</formula>
    </cfRule>
  </conditionalFormatting>
  <conditionalFormatting sqref="AC109 T109 B110:K138 R110:R138">
    <cfRule type="cellIs" dxfId="40" priority="110" operator="equal">
      <formula>0</formula>
    </cfRule>
  </conditionalFormatting>
  <conditionalFormatting sqref="AC160 T160 B161:K189 R161:R189">
    <cfRule type="cellIs" dxfId="39" priority="106" operator="equal">
      <formula>0</formula>
    </cfRule>
  </conditionalFormatting>
  <conditionalFormatting sqref="AC211 T211 B212:K240 R212:R240">
    <cfRule type="cellIs" dxfId="38" priority="102" operator="equal">
      <formula>0</formula>
    </cfRule>
  </conditionalFormatting>
  <conditionalFormatting sqref="AC262 T262 B263:K291 R263:R291">
    <cfRule type="cellIs" dxfId="37" priority="98" operator="equal">
      <formula>0</formula>
    </cfRule>
  </conditionalFormatting>
  <conditionalFormatting sqref="AC313 T313 B314:K342 R314:R342">
    <cfRule type="cellIs" dxfId="36" priority="94" operator="equal">
      <formula>0</formula>
    </cfRule>
  </conditionalFormatting>
  <conditionalFormatting sqref="AC364 T364 B365:K393 R365:R393">
    <cfRule type="cellIs" dxfId="35" priority="90" operator="equal">
      <formula>0</formula>
    </cfRule>
  </conditionalFormatting>
  <conditionalFormatting sqref="AC415 T415 B416:K444 R416:R444">
    <cfRule type="cellIs" dxfId="34" priority="86" operator="equal">
      <formula>0</formula>
    </cfRule>
  </conditionalFormatting>
  <conditionalFormatting sqref="AC466 T466 B467:K495 R467:R495">
    <cfRule type="cellIs" dxfId="33" priority="82" operator="equal">
      <formula>0</formula>
    </cfRule>
  </conditionalFormatting>
  <conditionalFormatting sqref="X4:AD4">
    <cfRule type="cellIs" dxfId="32" priority="78" operator="equal">
      <formula>"{Completion_Time}"</formula>
    </cfRule>
  </conditionalFormatting>
  <conditionalFormatting sqref="B37 B44 B51 W37">
    <cfRule type="cellIs" dxfId="31" priority="54" operator="equal">
      <formula>0</formula>
    </cfRule>
  </conditionalFormatting>
  <conditionalFormatting sqref="I37 I44 I51 W44">
    <cfRule type="cellIs" dxfId="30" priority="53" operator="equal">
      <formula>0</formula>
    </cfRule>
  </conditionalFormatting>
  <conditionalFormatting sqref="P37 P44 P51 W51">
    <cfRule type="cellIs" dxfId="29" priority="52" operator="equal">
      <formula>0</formula>
    </cfRule>
  </conditionalFormatting>
  <conditionalFormatting sqref="B88 B95 B102 W88">
    <cfRule type="cellIs" dxfId="28" priority="27" operator="equal">
      <formula>0</formula>
    </cfRule>
  </conditionalFormatting>
  <conditionalFormatting sqref="I88 I95 I102 W95">
    <cfRule type="cellIs" dxfId="27" priority="26" operator="equal">
      <formula>0</formula>
    </cfRule>
  </conditionalFormatting>
  <conditionalFormatting sqref="P88 P95 P102 W102">
    <cfRule type="cellIs" dxfId="26" priority="25" operator="equal">
      <formula>0</formula>
    </cfRule>
  </conditionalFormatting>
  <conditionalFormatting sqref="B139 B146 B153 W139">
    <cfRule type="cellIs" dxfId="25" priority="24" operator="equal">
      <formula>0</formula>
    </cfRule>
  </conditionalFormatting>
  <conditionalFormatting sqref="I139 I146 I153 W146">
    <cfRule type="cellIs" dxfId="24" priority="23" operator="equal">
      <formula>0</formula>
    </cfRule>
  </conditionalFormatting>
  <conditionalFormatting sqref="P139 P146 P153 W153">
    <cfRule type="cellIs" dxfId="23" priority="22" operator="equal">
      <formula>0</formula>
    </cfRule>
  </conditionalFormatting>
  <conditionalFormatting sqref="B190 B197 B204 W190">
    <cfRule type="cellIs" dxfId="22" priority="21" operator="equal">
      <formula>0</formula>
    </cfRule>
  </conditionalFormatting>
  <conditionalFormatting sqref="I190 I197 I204 W197">
    <cfRule type="cellIs" dxfId="21" priority="20" operator="equal">
      <formula>0</formula>
    </cfRule>
  </conditionalFormatting>
  <conditionalFormatting sqref="P190 P197 P204 W204">
    <cfRule type="cellIs" dxfId="20" priority="19" operator="equal">
      <formula>0</formula>
    </cfRule>
  </conditionalFormatting>
  <conditionalFormatting sqref="B241 B248 B255 W241">
    <cfRule type="cellIs" dxfId="19" priority="18" operator="equal">
      <formula>0</formula>
    </cfRule>
  </conditionalFormatting>
  <conditionalFormatting sqref="I241 I248 I255 W248">
    <cfRule type="cellIs" dxfId="18" priority="17" operator="equal">
      <formula>0</formula>
    </cfRule>
  </conditionalFormatting>
  <conditionalFormatting sqref="P241 P248 P255 W255">
    <cfRule type="cellIs" dxfId="17" priority="16" operator="equal">
      <formula>0</formula>
    </cfRule>
  </conditionalFormatting>
  <conditionalFormatting sqref="B292 B299 B306 W292">
    <cfRule type="cellIs" dxfId="16" priority="15" operator="equal">
      <formula>0</formula>
    </cfRule>
  </conditionalFormatting>
  <conditionalFormatting sqref="I292 I299 I306 W299">
    <cfRule type="cellIs" dxfId="15" priority="14" operator="equal">
      <formula>0</formula>
    </cfRule>
  </conditionalFormatting>
  <conditionalFormatting sqref="P292 P299 P306 W306">
    <cfRule type="cellIs" dxfId="14" priority="13" operator="equal">
      <formula>0</formula>
    </cfRule>
  </conditionalFormatting>
  <conditionalFormatting sqref="B343 B350 B357 W343">
    <cfRule type="cellIs" dxfId="13" priority="12" operator="equal">
      <formula>0</formula>
    </cfRule>
  </conditionalFormatting>
  <conditionalFormatting sqref="I343 I350 I357 W350">
    <cfRule type="cellIs" dxfId="12" priority="11" operator="equal">
      <formula>0</formula>
    </cfRule>
  </conditionalFormatting>
  <conditionalFormatting sqref="P343 P350 P357 W357">
    <cfRule type="cellIs" dxfId="11" priority="10" operator="equal">
      <formula>0</formula>
    </cfRule>
  </conditionalFormatting>
  <conditionalFormatting sqref="B394 B401 B408 W394">
    <cfRule type="cellIs" dxfId="10" priority="9" operator="equal">
      <formula>0</formula>
    </cfRule>
  </conditionalFormatting>
  <conditionalFormatting sqref="I394 I401 I408 W401">
    <cfRule type="cellIs" dxfId="9" priority="8" operator="equal">
      <formula>0</formula>
    </cfRule>
  </conditionalFormatting>
  <conditionalFormatting sqref="P394 P401 P408 W408">
    <cfRule type="cellIs" dxfId="8" priority="7" operator="equal">
      <formula>0</formula>
    </cfRule>
  </conditionalFormatting>
  <conditionalFormatting sqref="B445 B452 B459 W445">
    <cfRule type="cellIs" dxfId="7" priority="6" operator="equal">
      <formula>0</formula>
    </cfRule>
  </conditionalFormatting>
  <conditionalFormatting sqref="I445 I452 I459 W452">
    <cfRule type="cellIs" dxfId="6" priority="5" operator="equal">
      <formula>0</formula>
    </cfRule>
  </conditionalFormatting>
  <conditionalFormatting sqref="P445 P452 P459 W459">
    <cfRule type="cellIs" dxfId="5" priority="4" operator="equal">
      <formula>0</formula>
    </cfRule>
  </conditionalFormatting>
  <conditionalFormatting sqref="B496 B503 B510 W496">
    <cfRule type="cellIs" dxfId="4" priority="3" operator="equal">
      <formula>0</formula>
    </cfRule>
  </conditionalFormatting>
  <conditionalFormatting sqref="I496 I503 I510 W503">
    <cfRule type="cellIs" dxfId="3" priority="2" operator="equal">
      <formula>0</formula>
    </cfRule>
  </conditionalFormatting>
  <conditionalFormatting sqref="P496 P503 P510 W510">
    <cfRule type="cellIs" dxfId="2" priority="1" operator="equal">
      <formula>0</formula>
    </cfRule>
  </conditionalFormatting>
  <printOptions horizontalCentered="1"/>
  <pageMargins left="0" right="0" top="0.25" bottom="0.3" header="0.3" footer="0"/>
  <pageSetup scale="93" fitToHeight="0" orientation="portrait" r:id="rId1"/>
  <headerFooter>
    <oddFooter>&amp;C&amp;P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B58"/>
  <sheetViews>
    <sheetView showGridLines="0" topLeftCell="A34" workbookViewId="0">
      <selection activeCell="G71" sqref="G71"/>
    </sheetView>
  </sheetViews>
  <sheetFormatPr defaultColWidth="3.7109375" defaultRowHeight="15" x14ac:dyDescent="0.25"/>
  <sheetData>
    <row r="1" spans="1:29" ht="26.25" x14ac:dyDescent="0.25">
      <c r="A1" s="105" t="s">
        <v>48</v>
      </c>
      <c r="B1" s="105"/>
      <c r="C1" s="105"/>
      <c r="D1" s="105"/>
      <c r="E1" s="105"/>
      <c r="F1" s="105"/>
      <c r="G1" s="105"/>
      <c r="H1" s="105"/>
      <c r="I1" s="105"/>
      <c r="J1" s="105"/>
      <c r="K1" s="106" t="s">
        <v>49</v>
      </c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7"/>
      <c r="Z1" s="107"/>
      <c r="AA1" s="107"/>
      <c r="AB1" s="107"/>
      <c r="AC1" s="107"/>
    </row>
    <row r="2" spans="1:29" ht="18.75" x14ac:dyDescent="0.25">
      <c r="A2" s="104" t="s">
        <v>131</v>
      </c>
      <c r="B2" s="104"/>
      <c r="C2" s="104"/>
      <c r="D2" s="104"/>
      <c r="E2" s="104"/>
      <c r="F2" s="104"/>
      <c r="G2" s="104"/>
      <c r="H2" s="104"/>
      <c r="I2" s="104"/>
      <c r="J2" s="104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7"/>
      <c r="Z2" s="107"/>
      <c r="AA2" s="107"/>
      <c r="AB2" s="107"/>
      <c r="AC2" s="107"/>
    </row>
    <row r="3" spans="1:29" ht="18.75" x14ac:dyDescent="0.25">
      <c r="A3" s="104" t="s">
        <v>132</v>
      </c>
      <c r="B3" s="104"/>
      <c r="C3" s="104"/>
      <c r="D3" s="104"/>
      <c r="E3" s="104"/>
      <c r="F3" s="104"/>
      <c r="G3" s="104"/>
      <c r="H3" s="104"/>
      <c r="I3" s="104"/>
      <c r="J3" s="37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7"/>
      <c r="Z3" s="107"/>
      <c r="AA3" s="107"/>
      <c r="AB3" s="107"/>
      <c r="AC3" s="107"/>
    </row>
    <row r="4" spans="1:29" ht="6.95" customHeight="1" thickBot="1" x14ac:dyDescent="0.3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</row>
    <row r="5" spans="1:29" ht="6.95" customHeight="1" thickTop="1" x14ac:dyDescent="0.25">
      <c r="A5" s="9"/>
      <c r="B5" s="9"/>
      <c r="C5" s="9"/>
      <c r="D5" s="9"/>
      <c r="E5" s="9"/>
      <c r="F5" s="10"/>
      <c r="G5" s="10"/>
      <c r="H5" s="10"/>
      <c r="I5" s="10"/>
      <c r="J5" s="10"/>
      <c r="K5" s="10"/>
      <c r="L5" s="10"/>
    </row>
    <row r="6" spans="1:29" x14ac:dyDescent="0.25">
      <c r="A6" s="130" t="s">
        <v>1</v>
      </c>
      <c r="B6" s="130"/>
      <c r="C6" s="132" t="s">
        <v>565</v>
      </c>
      <c r="D6" s="132"/>
      <c r="E6" s="132"/>
      <c r="F6" s="11"/>
      <c r="G6" s="130" t="s">
        <v>50</v>
      </c>
      <c r="H6" s="130"/>
      <c r="I6" s="130"/>
      <c r="J6" s="130"/>
      <c r="K6" s="133" t="s">
        <v>568</v>
      </c>
      <c r="L6" s="133"/>
      <c r="M6" s="133"/>
      <c r="N6" s="133"/>
      <c r="O6" s="133"/>
      <c r="P6" s="133"/>
      <c r="Q6" s="133"/>
      <c r="R6" s="134" t="s">
        <v>51</v>
      </c>
      <c r="S6" s="134"/>
      <c r="T6" s="134"/>
      <c r="U6" s="134"/>
      <c r="V6" s="134"/>
      <c r="W6" s="129" t="s">
        <v>6</v>
      </c>
      <c r="X6" s="129"/>
      <c r="Y6" s="129"/>
      <c r="Z6" s="129"/>
      <c r="AA6" s="129"/>
      <c r="AB6" s="129"/>
      <c r="AC6" s="129"/>
    </row>
    <row r="7" spans="1:29" ht="6.95" customHeight="1" x14ac:dyDescent="0.3">
      <c r="A7" s="12"/>
      <c r="B7" s="12"/>
      <c r="C7" s="12"/>
      <c r="D7" s="12"/>
      <c r="E7" s="13"/>
      <c r="F7" s="13"/>
      <c r="G7" s="13"/>
      <c r="H7" s="14"/>
      <c r="Q7" s="15"/>
    </row>
    <row r="8" spans="1:29" x14ac:dyDescent="0.25">
      <c r="A8" s="130" t="s">
        <v>52</v>
      </c>
      <c r="B8" s="130"/>
      <c r="C8" s="130"/>
      <c r="D8" s="130"/>
      <c r="E8" s="130"/>
      <c r="F8" s="131" t="s">
        <v>566</v>
      </c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</row>
    <row r="9" spans="1:29" x14ac:dyDescent="0.25">
      <c r="A9" s="130" t="s">
        <v>8</v>
      </c>
      <c r="B9" s="130"/>
      <c r="C9" s="130"/>
      <c r="D9" s="131" t="s">
        <v>567</v>
      </c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</row>
    <row r="10" spans="1:29" ht="6.95" customHeight="1" x14ac:dyDescent="0.3">
      <c r="A10" s="12"/>
      <c r="B10" s="12"/>
      <c r="C10" s="12"/>
      <c r="D10" s="12"/>
      <c r="E10" s="13"/>
      <c r="F10" s="13"/>
      <c r="G10" s="13"/>
      <c r="H10" s="14"/>
      <c r="Q10" s="15"/>
      <c r="R10" s="15"/>
      <c r="S10" s="15"/>
      <c r="T10" s="15"/>
      <c r="U10" s="15"/>
      <c r="V10" s="16"/>
      <c r="W10" s="16"/>
      <c r="X10" s="16"/>
    </row>
    <row r="11" spans="1:29" x14ac:dyDescent="0.25">
      <c r="A11" s="101" t="s">
        <v>53</v>
      </c>
      <c r="B11" s="101"/>
      <c r="C11" s="101"/>
      <c r="D11" s="101"/>
      <c r="E11" s="101"/>
      <c r="F11" s="136" t="s">
        <v>54</v>
      </c>
      <c r="G11" s="136"/>
      <c r="H11" s="136"/>
      <c r="I11" s="136"/>
      <c r="J11" s="136"/>
      <c r="K11" s="136"/>
      <c r="L11" s="136"/>
      <c r="M11" s="136"/>
      <c r="N11" s="17"/>
      <c r="O11" s="111" t="s">
        <v>55</v>
      </c>
      <c r="P11" s="111"/>
      <c r="Q11" s="137" t="s">
        <v>56</v>
      </c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</row>
    <row r="12" spans="1:29" ht="6.95" customHeight="1" x14ac:dyDescent="0.25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</row>
    <row r="13" spans="1:29" x14ac:dyDescent="0.25">
      <c r="A13" s="138" t="s">
        <v>57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7"/>
      <c r="L13" s="138" t="s">
        <v>58</v>
      </c>
      <c r="M13" s="138"/>
      <c r="N13" s="138"/>
      <c r="O13" s="138"/>
      <c r="P13" s="138"/>
      <c r="Q13" s="138"/>
      <c r="R13" s="138"/>
      <c r="S13" s="138"/>
      <c r="T13" s="17"/>
      <c r="U13" s="138" t="s">
        <v>59</v>
      </c>
      <c r="V13" s="138"/>
      <c r="W13" s="138"/>
      <c r="X13" s="138"/>
      <c r="Y13" s="138"/>
      <c r="Z13" s="138"/>
      <c r="AA13" s="138"/>
      <c r="AB13" s="138"/>
      <c r="AC13" s="17"/>
    </row>
    <row r="14" spans="1:29" x14ac:dyDescent="0.25">
      <c r="A14" s="101" t="s">
        <v>60</v>
      </c>
      <c r="B14" s="101"/>
      <c r="C14" s="101"/>
      <c r="D14" s="101"/>
      <c r="E14" s="109" t="s">
        <v>61</v>
      </c>
      <c r="F14" s="109"/>
      <c r="G14" s="109"/>
      <c r="H14" s="109"/>
      <c r="I14" s="109"/>
      <c r="J14" s="109"/>
      <c r="K14" s="17"/>
      <c r="L14" s="101" t="s">
        <v>60</v>
      </c>
      <c r="M14" s="101"/>
      <c r="N14" s="101"/>
      <c r="O14" s="101"/>
      <c r="P14" s="109" t="s">
        <v>62</v>
      </c>
      <c r="Q14" s="109"/>
      <c r="R14" s="109"/>
      <c r="S14" s="109"/>
      <c r="T14" s="17"/>
      <c r="U14" s="101" t="s">
        <v>63</v>
      </c>
      <c r="V14" s="101"/>
      <c r="W14" s="101"/>
      <c r="X14" s="101"/>
      <c r="Y14" s="101"/>
      <c r="Z14" s="109" t="s">
        <v>64</v>
      </c>
      <c r="AA14" s="109"/>
      <c r="AB14" s="109"/>
      <c r="AC14" s="109"/>
    </row>
    <row r="15" spans="1:29" x14ac:dyDescent="0.25">
      <c r="A15" s="101" t="s">
        <v>65</v>
      </c>
      <c r="B15" s="101"/>
      <c r="C15" s="101"/>
      <c r="D15" s="101"/>
      <c r="E15" s="114" t="s">
        <v>66</v>
      </c>
      <c r="F15" s="114"/>
      <c r="G15" s="114"/>
      <c r="H15" s="114"/>
      <c r="I15" s="114"/>
      <c r="J15" s="114"/>
      <c r="K15" s="17"/>
      <c r="L15" s="101" t="s">
        <v>67</v>
      </c>
      <c r="M15" s="101"/>
      <c r="N15" s="101"/>
      <c r="O15" s="101"/>
      <c r="P15" s="114" t="s">
        <v>68</v>
      </c>
      <c r="Q15" s="114"/>
      <c r="R15" s="114"/>
      <c r="S15" s="114"/>
      <c r="T15" s="17"/>
      <c r="U15" s="101" t="s">
        <v>69</v>
      </c>
      <c r="V15" s="101"/>
      <c r="W15" s="101"/>
      <c r="X15" s="101"/>
      <c r="Y15" s="101"/>
      <c r="Z15" s="114" t="s">
        <v>70</v>
      </c>
      <c r="AA15" s="114"/>
      <c r="AB15" s="114"/>
      <c r="AC15" s="114"/>
    </row>
    <row r="16" spans="1:29" x14ac:dyDescent="0.25">
      <c r="A16" s="101" t="s">
        <v>71</v>
      </c>
      <c r="B16" s="101"/>
      <c r="C16" s="101"/>
      <c r="D16" s="101"/>
      <c r="E16" s="114" t="s">
        <v>72</v>
      </c>
      <c r="F16" s="114"/>
      <c r="G16" s="114"/>
      <c r="H16" s="114"/>
      <c r="I16" s="114"/>
      <c r="J16" s="114"/>
      <c r="K16" s="17"/>
      <c r="L16" s="101" t="s">
        <v>73</v>
      </c>
      <c r="M16" s="101"/>
      <c r="N16" s="101"/>
      <c r="O16" s="101"/>
      <c r="P16" s="114" t="s">
        <v>74</v>
      </c>
      <c r="Q16" s="114"/>
      <c r="R16" s="114"/>
      <c r="S16" s="114"/>
      <c r="T16" s="17"/>
      <c r="U16" s="101" t="s">
        <v>75</v>
      </c>
      <c r="V16" s="101"/>
      <c r="W16" s="101"/>
      <c r="X16" s="101"/>
      <c r="Y16" s="101"/>
      <c r="Z16" s="114" t="s">
        <v>76</v>
      </c>
      <c r="AA16" s="114"/>
      <c r="AB16" s="114"/>
      <c r="AC16" s="114"/>
    </row>
    <row r="17" spans="1:29" ht="6.95" customHeight="1" x14ac:dyDescent="0.2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</row>
    <row r="18" spans="1:29" x14ac:dyDescent="0.25">
      <c r="A18" s="17" t="s">
        <v>77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</row>
    <row r="19" spans="1:29" x14ac:dyDescent="0.25">
      <c r="A19" s="101" t="s">
        <v>78</v>
      </c>
      <c r="B19" s="101"/>
      <c r="C19" s="101"/>
      <c r="D19" s="125" t="s">
        <v>79</v>
      </c>
      <c r="E19" s="125"/>
      <c r="F19" s="125"/>
      <c r="G19" s="125"/>
      <c r="H19" s="125"/>
      <c r="I19" s="125"/>
      <c r="J19" s="125"/>
      <c r="K19" s="125"/>
      <c r="L19" s="125"/>
      <c r="M19" s="125"/>
      <c r="N19" s="17"/>
      <c r="O19" s="109" t="s">
        <v>80</v>
      </c>
      <c r="P19" s="109"/>
      <c r="Q19" s="109"/>
      <c r="R19" s="18" t="s">
        <v>81</v>
      </c>
      <c r="S19" s="17"/>
      <c r="T19" s="111" t="s">
        <v>82</v>
      </c>
      <c r="U19" s="111"/>
      <c r="V19" s="111"/>
      <c r="W19" s="126" t="s">
        <v>83</v>
      </c>
      <c r="X19" s="127"/>
      <c r="Y19" s="128"/>
      <c r="Z19" s="17"/>
      <c r="AA19" s="119" t="s">
        <v>84</v>
      </c>
      <c r="AB19" s="120"/>
      <c r="AC19" s="121"/>
    </row>
    <row r="20" spans="1:29" x14ac:dyDescent="0.25">
      <c r="A20" s="101" t="s">
        <v>78</v>
      </c>
      <c r="B20" s="101"/>
      <c r="C20" s="101"/>
      <c r="D20" s="113" t="s">
        <v>85</v>
      </c>
      <c r="E20" s="113"/>
      <c r="F20" s="113"/>
      <c r="G20" s="113"/>
      <c r="H20" s="113"/>
      <c r="I20" s="113"/>
      <c r="J20" s="113"/>
      <c r="K20" s="113"/>
      <c r="L20" s="113"/>
      <c r="M20" s="113"/>
      <c r="N20" s="17"/>
      <c r="O20" s="114" t="s">
        <v>86</v>
      </c>
      <c r="P20" s="114"/>
      <c r="Q20" s="114"/>
      <c r="R20" s="18" t="s">
        <v>81</v>
      </c>
      <c r="S20" s="17"/>
      <c r="T20" s="111" t="s">
        <v>82</v>
      </c>
      <c r="U20" s="111"/>
      <c r="V20" s="111"/>
      <c r="W20" s="122" t="s">
        <v>87</v>
      </c>
      <c r="X20" s="123"/>
      <c r="Y20" s="124"/>
      <c r="Z20" s="17"/>
      <c r="AA20" s="115" t="s">
        <v>88</v>
      </c>
      <c r="AB20" s="116"/>
      <c r="AC20" s="117"/>
    </row>
    <row r="21" spans="1:29" x14ac:dyDescent="0.25">
      <c r="A21" s="101" t="s">
        <v>78</v>
      </c>
      <c r="B21" s="101"/>
      <c r="C21" s="101"/>
      <c r="D21" s="113" t="s">
        <v>89</v>
      </c>
      <c r="E21" s="113"/>
      <c r="F21" s="113"/>
      <c r="G21" s="113"/>
      <c r="H21" s="113"/>
      <c r="I21" s="113"/>
      <c r="J21" s="113"/>
      <c r="K21" s="113"/>
      <c r="L21" s="113"/>
      <c r="M21" s="113"/>
      <c r="N21" s="17"/>
      <c r="O21" s="114" t="s">
        <v>90</v>
      </c>
      <c r="P21" s="114"/>
      <c r="Q21" s="114"/>
      <c r="R21" s="18" t="s">
        <v>81</v>
      </c>
      <c r="S21" s="17"/>
      <c r="T21" s="111" t="s">
        <v>82</v>
      </c>
      <c r="U21" s="111"/>
      <c r="V21" s="111"/>
      <c r="W21" s="122" t="s">
        <v>91</v>
      </c>
      <c r="X21" s="123"/>
      <c r="Y21" s="124"/>
      <c r="Z21" s="17"/>
      <c r="AA21" s="115" t="s">
        <v>92</v>
      </c>
      <c r="AB21" s="116"/>
      <c r="AC21" s="117"/>
    </row>
    <row r="22" spans="1:29" x14ac:dyDescent="0.25">
      <c r="A22" s="101" t="s">
        <v>78</v>
      </c>
      <c r="B22" s="101"/>
      <c r="C22" s="101"/>
      <c r="D22" s="113" t="s">
        <v>93</v>
      </c>
      <c r="E22" s="113"/>
      <c r="F22" s="113"/>
      <c r="G22" s="113"/>
      <c r="H22" s="113"/>
      <c r="I22" s="113"/>
      <c r="J22" s="113"/>
      <c r="K22" s="113"/>
      <c r="L22" s="113"/>
      <c r="M22" s="113"/>
      <c r="N22" s="17"/>
      <c r="O22" s="114" t="s">
        <v>94</v>
      </c>
      <c r="P22" s="114"/>
      <c r="Q22" s="114"/>
      <c r="R22" s="18" t="s">
        <v>81</v>
      </c>
      <c r="S22" s="17"/>
      <c r="T22" s="111" t="s">
        <v>82</v>
      </c>
      <c r="U22" s="111"/>
      <c r="V22" s="111"/>
      <c r="W22" s="122" t="s">
        <v>95</v>
      </c>
      <c r="X22" s="123"/>
      <c r="Y22" s="124"/>
      <c r="Z22" s="17"/>
      <c r="AA22" s="115" t="s">
        <v>96</v>
      </c>
      <c r="AB22" s="116"/>
      <c r="AC22" s="117"/>
    </row>
    <row r="23" spans="1:29" x14ac:dyDescent="0.25">
      <c r="A23" s="101" t="s">
        <v>78</v>
      </c>
      <c r="B23" s="101"/>
      <c r="C23" s="101"/>
      <c r="D23" s="113" t="s">
        <v>97</v>
      </c>
      <c r="E23" s="113"/>
      <c r="F23" s="113"/>
      <c r="G23" s="113"/>
      <c r="H23" s="113"/>
      <c r="I23" s="113"/>
      <c r="J23" s="113"/>
      <c r="K23" s="113"/>
      <c r="L23" s="113"/>
      <c r="M23" s="113"/>
      <c r="N23" s="17"/>
      <c r="O23" s="114" t="s">
        <v>98</v>
      </c>
      <c r="P23" s="114"/>
      <c r="Q23" s="114"/>
      <c r="R23" s="18" t="s">
        <v>81</v>
      </c>
      <c r="S23" s="17"/>
      <c r="T23" s="111" t="s">
        <v>82</v>
      </c>
      <c r="U23" s="111"/>
      <c r="V23" s="111"/>
      <c r="W23" s="122" t="s">
        <v>99</v>
      </c>
      <c r="X23" s="123"/>
      <c r="Y23" s="124"/>
      <c r="Z23" s="17"/>
      <c r="AA23" s="115" t="s">
        <v>100</v>
      </c>
      <c r="AB23" s="116"/>
      <c r="AC23" s="117"/>
    </row>
    <row r="24" spans="1:29" x14ac:dyDescent="0.25">
      <c r="A24" s="101" t="s">
        <v>101</v>
      </c>
      <c r="B24" s="101"/>
      <c r="C24" s="101"/>
      <c r="D24" s="113" t="s">
        <v>102</v>
      </c>
      <c r="E24" s="113"/>
      <c r="F24" s="113"/>
      <c r="G24" s="113"/>
      <c r="H24" s="113"/>
      <c r="I24" s="113"/>
      <c r="J24" s="113"/>
      <c r="K24" s="113"/>
      <c r="L24" s="113"/>
      <c r="M24" s="19"/>
      <c r="N24" s="109" t="s">
        <v>103</v>
      </c>
      <c r="O24" s="109"/>
      <c r="P24" s="18" t="s">
        <v>81</v>
      </c>
      <c r="Q24" s="111" t="s">
        <v>82</v>
      </c>
      <c r="R24" s="111"/>
      <c r="S24" s="109" t="s">
        <v>104</v>
      </c>
      <c r="T24" s="109"/>
      <c r="U24" s="109"/>
      <c r="V24" s="119" t="s">
        <v>105</v>
      </c>
      <c r="W24" s="120"/>
      <c r="X24" s="121"/>
      <c r="Y24" s="118" t="s">
        <v>106</v>
      </c>
      <c r="Z24" s="118"/>
      <c r="AA24" s="112" t="s">
        <v>107</v>
      </c>
      <c r="AB24" s="112"/>
      <c r="AC24" s="112"/>
    </row>
    <row r="25" spans="1:29" x14ac:dyDescent="0.25">
      <c r="A25" s="101" t="s">
        <v>101</v>
      </c>
      <c r="B25" s="101"/>
      <c r="C25" s="101"/>
      <c r="D25" s="113" t="s">
        <v>108</v>
      </c>
      <c r="E25" s="113"/>
      <c r="F25" s="113"/>
      <c r="G25" s="113"/>
      <c r="H25" s="113"/>
      <c r="I25" s="113"/>
      <c r="J25" s="113"/>
      <c r="K25" s="113"/>
      <c r="L25" s="113"/>
      <c r="M25" s="20"/>
      <c r="N25" s="109" t="s">
        <v>109</v>
      </c>
      <c r="O25" s="109"/>
      <c r="P25" s="18" t="s">
        <v>81</v>
      </c>
      <c r="Q25" s="111" t="s">
        <v>82</v>
      </c>
      <c r="R25" s="111"/>
      <c r="S25" s="114" t="s">
        <v>110</v>
      </c>
      <c r="T25" s="114"/>
      <c r="U25" s="114"/>
      <c r="V25" s="115" t="s">
        <v>111</v>
      </c>
      <c r="W25" s="116"/>
      <c r="X25" s="117"/>
      <c r="Y25" s="118" t="s">
        <v>106</v>
      </c>
      <c r="Z25" s="118"/>
      <c r="AA25" s="112" t="s">
        <v>107</v>
      </c>
      <c r="AB25" s="112"/>
      <c r="AC25" s="112"/>
    </row>
    <row r="26" spans="1:29" x14ac:dyDescent="0.25">
      <c r="A26" s="101" t="s">
        <v>101</v>
      </c>
      <c r="B26" s="101"/>
      <c r="C26" s="101"/>
      <c r="D26" s="113" t="s">
        <v>112</v>
      </c>
      <c r="E26" s="113"/>
      <c r="F26" s="113"/>
      <c r="G26" s="113"/>
      <c r="H26" s="113"/>
      <c r="I26" s="113"/>
      <c r="J26" s="113"/>
      <c r="K26" s="113"/>
      <c r="L26" s="113"/>
      <c r="M26" s="20"/>
      <c r="N26" s="109" t="s">
        <v>113</v>
      </c>
      <c r="O26" s="109"/>
      <c r="P26" s="18" t="s">
        <v>81</v>
      </c>
      <c r="Q26" s="111" t="s">
        <v>82</v>
      </c>
      <c r="R26" s="111"/>
      <c r="S26" s="114" t="s">
        <v>114</v>
      </c>
      <c r="T26" s="114"/>
      <c r="U26" s="114"/>
      <c r="V26" s="115" t="s">
        <v>115</v>
      </c>
      <c r="W26" s="116"/>
      <c r="X26" s="117"/>
      <c r="Y26" s="118" t="s">
        <v>106</v>
      </c>
      <c r="Z26" s="118"/>
      <c r="AA26" s="112" t="s">
        <v>107</v>
      </c>
      <c r="AB26" s="112"/>
      <c r="AC26" s="112"/>
    </row>
    <row r="27" spans="1:29" x14ac:dyDescent="0.25">
      <c r="A27" s="101" t="s">
        <v>101</v>
      </c>
      <c r="B27" s="101"/>
      <c r="C27" s="101"/>
      <c r="D27" s="113" t="s">
        <v>116</v>
      </c>
      <c r="E27" s="113"/>
      <c r="F27" s="113"/>
      <c r="G27" s="113"/>
      <c r="H27" s="113"/>
      <c r="I27" s="113"/>
      <c r="J27" s="113"/>
      <c r="K27" s="113"/>
      <c r="L27" s="113"/>
      <c r="M27" s="20"/>
      <c r="N27" s="109" t="s">
        <v>117</v>
      </c>
      <c r="O27" s="109"/>
      <c r="P27" s="18" t="s">
        <v>81</v>
      </c>
      <c r="Q27" s="111" t="s">
        <v>82</v>
      </c>
      <c r="R27" s="111"/>
      <c r="S27" s="114" t="s">
        <v>118</v>
      </c>
      <c r="T27" s="114"/>
      <c r="U27" s="114"/>
      <c r="V27" s="115" t="s">
        <v>119</v>
      </c>
      <c r="W27" s="116"/>
      <c r="X27" s="117"/>
      <c r="Y27" s="118" t="s">
        <v>106</v>
      </c>
      <c r="Z27" s="118"/>
      <c r="AA27" s="112" t="s">
        <v>107</v>
      </c>
      <c r="AB27" s="112"/>
      <c r="AC27" s="112"/>
    </row>
    <row r="28" spans="1:29" x14ac:dyDescent="0.25">
      <c r="A28" s="101" t="s">
        <v>101</v>
      </c>
      <c r="B28" s="101"/>
      <c r="C28" s="101"/>
      <c r="D28" s="113" t="s">
        <v>120</v>
      </c>
      <c r="E28" s="113"/>
      <c r="F28" s="113"/>
      <c r="G28" s="113"/>
      <c r="H28" s="113"/>
      <c r="I28" s="113"/>
      <c r="J28" s="113"/>
      <c r="K28" s="113"/>
      <c r="L28" s="113"/>
      <c r="M28" s="20"/>
      <c r="N28" s="109" t="s">
        <v>121</v>
      </c>
      <c r="O28" s="109"/>
      <c r="P28" s="18" t="s">
        <v>81</v>
      </c>
      <c r="Q28" s="111" t="s">
        <v>82</v>
      </c>
      <c r="R28" s="111"/>
      <c r="S28" s="114" t="s">
        <v>122</v>
      </c>
      <c r="T28" s="114"/>
      <c r="U28" s="114"/>
      <c r="V28" s="115" t="s">
        <v>123</v>
      </c>
      <c r="W28" s="116"/>
      <c r="X28" s="117"/>
      <c r="Y28" s="118" t="s">
        <v>106</v>
      </c>
      <c r="Z28" s="118"/>
      <c r="AA28" s="112" t="s">
        <v>107</v>
      </c>
      <c r="AB28" s="112"/>
      <c r="AC28" s="112"/>
    </row>
    <row r="29" spans="1:29" ht="6.95" customHeight="1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21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</row>
    <row r="30" spans="1:29" x14ac:dyDescent="0.25">
      <c r="A30" s="101" t="s">
        <v>124</v>
      </c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7"/>
      <c r="AB30" s="17"/>
      <c r="AC30" s="17"/>
    </row>
    <row r="31" spans="1:29" x14ac:dyDescent="0.25">
      <c r="A31" s="102" t="s">
        <v>125</v>
      </c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</row>
    <row r="32" spans="1:29" x14ac:dyDescent="0.25">
      <c r="A32" s="102"/>
      <c r="B32" s="102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  <c r="AA32" s="102"/>
      <c r="AB32" s="102"/>
      <c r="AC32" s="102"/>
    </row>
    <row r="33" spans="1:29" x14ac:dyDescent="0.25">
      <c r="A33" s="102"/>
      <c r="B33" s="102"/>
      <c r="C33" s="102"/>
      <c r="D33" s="102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</row>
    <row r="34" spans="1:29" x14ac:dyDescent="0.25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</row>
    <row r="35" spans="1:29" x14ac:dyDescent="0.25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  <c r="AA35" s="102"/>
      <c r="AB35" s="102"/>
      <c r="AC35" s="102"/>
    </row>
    <row r="36" spans="1:29" x14ac:dyDescent="0.25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  <c r="AA36" s="102"/>
      <c r="AB36" s="102"/>
      <c r="AC36" s="102"/>
    </row>
    <row r="37" spans="1:29" x14ac:dyDescent="0.25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</row>
    <row r="38" spans="1:29" x14ac:dyDescent="0.25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  <c r="AA38" s="102"/>
      <c r="AB38" s="102"/>
      <c r="AC38" s="102"/>
    </row>
    <row r="39" spans="1:29" x14ac:dyDescent="0.25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  <c r="AA39" s="102"/>
      <c r="AB39" s="102"/>
      <c r="AC39" s="102"/>
    </row>
    <row r="40" spans="1:29" ht="6.95" customHeight="1" x14ac:dyDescent="0.25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15.75" x14ac:dyDescent="0.25">
      <c r="A41" s="108" t="s">
        <v>126</v>
      </c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</row>
    <row r="42" spans="1:29" ht="6.95" customHeight="1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</row>
    <row r="43" spans="1:29" x14ac:dyDescent="0.25">
      <c r="A43" s="101" t="s">
        <v>127</v>
      </c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9" t="s">
        <v>34</v>
      </c>
      <c r="M43" s="109"/>
      <c r="N43" s="109"/>
      <c r="O43" s="109"/>
      <c r="P43" s="17"/>
      <c r="Q43" s="110" t="s">
        <v>128</v>
      </c>
      <c r="R43" s="110"/>
      <c r="S43" s="110"/>
      <c r="T43" s="110"/>
      <c r="U43" s="110"/>
      <c r="V43" s="110"/>
      <c r="W43" s="110"/>
      <c r="X43" s="110"/>
      <c r="Y43" s="110"/>
      <c r="Z43" s="110"/>
      <c r="AA43" s="109" t="s">
        <v>35</v>
      </c>
      <c r="AB43" s="109"/>
      <c r="AC43" s="109"/>
    </row>
    <row r="44" spans="1:29" ht="6.95" customHeight="1" x14ac:dyDescent="0.25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x14ac:dyDescent="0.25">
      <c r="A45" s="17" t="s">
        <v>129</v>
      </c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x14ac:dyDescent="0.25">
      <c r="A46" s="135" t="s">
        <v>36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</row>
    <row r="47" spans="1:29" x14ac:dyDescent="0.25">
      <c r="A47" s="135"/>
      <c r="B47" s="135"/>
      <c r="C47" s="135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/>
    </row>
    <row r="48" spans="1:29" x14ac:dyDescent="0.25">
      <c r="A48" s="135"/>
      <c r="B48" s="135"/>
      <c r="C48" s="135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/>
    </row>
    <row r="49" spans="1:54" x14ac:dyDescent="0.25">
      <c r="A49" s="135"/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/>
      <c r="Z49" s="135"/>
      <c r="AA49" s="135"/>
      <c r="AB49" s="135"/>
      <c r="AC49" s="135"/>
    </row>
    <row r="50" spans="1:54" x14ac:dyDescent="0.25">
      <c r="A50" s="135"/>
      <c r="B50" s="135"/>
      <c r="C50" s="135"/>
      <c r="D50" s="135"/>
      <c r="E50" s="135"/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35"/>
      <c r="AB50" s="135"/>
      <c r="AC50" s="135"/>
    </row>
    <row r="51" spans="1:54" x14ac:dyDescent="0.25">
      <c r="A51" s="135"/>
      <c r="B51" s="135"/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</row>
    <row r="52" spans="1:54" ht="6.95" customHeight="1" x14ac:dyDescent="0.25">
      <c r="A52" s="103" t="s">
        <v>38</v>
      </c>
      <c r="B52" s="103"/>
      <c r="C52" s="103"/>
      <c r="D52" s="103"/>
      <c r="E52" s="103"/>
      <c r="F52" s="103"/>
      <c r="G52" s="103"/>
      <c r="H52" s="103"/>
      <c r="I52" s="103"/>
      <c r="J52" s="103"/>
      <c r="K52" s="103"/>
      <c r="L52" s="103"/>
      <c r="M52" s="103"/>
      <c r="N52" s="23"/>
      <c r="Q52" s="103" t="s">
        <v>39</v>
      </c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  <c r="AC52" s="103"/>
      <c r="AO52" s="17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20"/>
    </row>
    <row r="53" spans="1:54" x14ac:dyDescent="0.25">
      <c r="A53" s="103"/>
      <c r="B53" s="103"/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3"/>
      <c r="N53" s="2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  <c r="AC53" s="103"/>
      <c r="AO53" s="17"/>
      <c r="AP53" s="1"/>
    </row>
    <row r="54" spans="1:54" x14ac:dyDescent="0.25">
      <c r="A54" s="103"/>
      <c r="B54" s="103"/>
      <c r="C54" s="103"/>
      <c r="D54" s="103"/>
      <c r="E54" s="103"/>
      <c r="F54" s="103"/>
      <c r="G54" s="103"/>
      <c r="H54" s="103"/>
      <c r="I54" s="103"/>
      <c r="J54" s="103"/>
      <c r="K54" s="103"/>
      <c r="L54" s="103"/>
      <c r="M54" s="103"/>
      <c r="N54" s="23"/>
      <c r="Q54" s="103"/>
      <c r="R54" s="103"/>
      <c r="S54" s="103"/>
      <c r="T54" s="103"/>
      <c r="U54" s="103"/>
      <c r="V54" s="103"/>
      <c r="W54" s="103"/>
      <c r="X54" s="103"/>
      <c r="Y54" s="103"/>
      <c r="Z54" s="103"/>
      <c r="AA54" s="103"/>
      <c r="AB54" s="103"/>
      <c r="AC54" s="103"/>
      <c r="AO54" s="17"/>
      <c r="AP54" s="20"/>
    </row>
    <row r="55" spans="1:54" ht="6.95" customHeight="1" x14ac:dyDescent="0.25"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54" x14ac:dyDescent="0.25">
      <c r="A56" s="100" t="s">
        <v>37</v>
      </c>
      <c r="B56" s="100"/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P56" s="44"/>
      <c r="Q56" s="98" t="s">
        <v>172</v>
      </c>
      <c r="R56" s="98"/>
      <c r="S56" s="98"/>
      <c r="T56" s="98"/>
      <c r="U56" s="98"/>
      <c r="V56" s="98"/>
      <c r="W56" s="98"/>
      <c r="X56" s="98"/>
      <c r="Y56" s="98"/>
      <c r="Z56" s="98"/>
      <c r="AA56" s="98"/>
      <c r="AB56" s="98"/>
      <c r="AC56" s="98"/>
    </row>
    <row r="57" spans="1:54" x14ac:dyDescent="0.25">
      <c r="A57" s="111" t="s">
        <v>130</v>
      </c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P57" s="44"/>
      <c r="Q57" s="99" t="s">
        <v>221</v>
      </c>
      <c r="R57" s="99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9"/>
    </row>
    <row r="58" spans="1:54" x14ac:dyDescent="0.25">
      <c r="AB58" s="20"/>
      <c r="AC58" s="20"/>
    </row>
  </sheetData>
  <mergeCells count="124">
    <mergeCell ref="A46:AC51"/>
    <mergeCell ref="A11:E11"/>
    <mergeCell ref="F11:M11"/>
    <mergeCell ref="O11:P11"/>
    <mergeCell ref="Q11:AC11"/>
    <mergeCell ref="A13:J13"/>
    <mergeCell ref="L13:S13"/>
    <mergeCell ref="U13:AB13"/>
    <mergeCell ref="A14:D14"/>
    <mergeCell ref="E14:J14"/>
    <mergeCell ref="L14:O14"/>
    <mergeCell ref="P14:S14"/>
    <mergeCell ref="U14:Y14"/>
    <mergeCell ref="Z14:AC14"/>
    <mergeCell ref="P15:S15"/>
    <mergeCell ref="U15:Y15"/>
    <mergeCell ref="AA19:AC19"/>
    <mergeCell ref="A20:C20"/>
    <mergeCell ref="D20:M20"/>
    <mergeCell ref="O20:Q20"/>
    <mergeCell ref="T20:V20"/>
    <mergeCell ref="W20:Y20"/>
    <mergeCell ref="AA20:AC20"/>
    <mergeCell ref="A19:C19"/>
    <mergeCell ref="W6:AC6"/>
    <mergeCell ref="A8:E8"/>
    <mergeCell ref="F8:AC8"/>
    <mergeCell ref="A9:C9"/>
    <mergeCell ref="D9:AC9"/>
    <mergeCell ref="A6:B6"/>
    <mergeCell ref="C6:E6"/>
    <mergeCell ref="G6:J6"/>
    <mergeCell ref="K6:Q6"/>
    <mergeCell ref="R6:V6"/>
    <mergeCell ref="Z15:AC15"/>
    <mergeCell ref="A16:D16"/>
    <mergeCell ref="E16:J16"/>
    <mergeCell ref="L16:O16"/>
    <mergeCell ref="P16:S16"/>
    <mergeCell ref="U16:Y16"/>
    <mergeCell ref="Z16:AC16"/>
    <mergeCell ref="A15:D15"/>
    <mergeCell ref="E15:J15"/>
    <mergeCell ref="L15:O15"/>
    <mergeCell ref="AA22:AC22"/>
    <mergeCell ref="A21:C21"/>
    <mergeCell ref="D21:M21"/>
    <mergeCell ref="O21:Q21"/>
    <mergeCell ref="T21:V21"/>
    <mergeCell ref="W21:Y21"/>
    <mergeCell ref="D19:M19"/>
    <mergeCell ref="O19:Q19"/>
    <mergeCell ref="T19:V19"/>
    <mergeCell ref="W19:Y19"/>
    <mergeCell ref="AA21:AC21"/>
    <mergeCell ref="A22:C22"/>
    <mergeCell ref="D22:M22"/>
    <mergeCell ref="O22:Q22"/>
    <mergeCell ref="T22:V22"/>
    <mergeCell ref="W22:Y22"/>
    <mergeCell ref="AA23:AC23"/>
    <mergeCell ref="A24:C24"/>
    <mergeCell ref="D24:L24"/>
    <mergeCell ref="N24:O24"/>
    <mergeCell ref="Q24:R24"/>
    <mergeCell ref="S24:U24"/>
    <mergeCell ref="V24:X24"/>
    <mergeCell ref="Y24:Z24"/>
    <mergeCell ref="AA24:AC24"/>
    <mergeCell ref="A23:C23"/>
    <mergeCell ref="D23:M23"/>
    <mergeCell ref="O23:Q23"/>
    <mergeCell ref="T23:V23"/>
    <mergeCell ref="W23:Y23"/>
    <mergeCell ref="V25:X25"/>
    <mergeCell ref="Y25:Z25"/>
    <mergeCell ref="D25:L25"/>
    <mergeCell ref="N25:O25"/>
    <mergeCell ref="Q25:R25"/>
    <mergeCell ref="S25:U25"/>
    <mergeCell ref="AA25:AC25"/>
    <mergeCell ref="A26:C26"/>
    <mergeCell ref="D26:L26"/>
    <mergeCell ref="N26:O26"/>
    <mergeCell ref="Q26:R26"/>
    <mergeCell ref="S26:U26"/>
    <mergeCell ref="V26:X26"/>
    <mergeCell ref="Y26:Z26"/>
    <mergeCell ref="AA26:AC26"/>
    <mergeCell ref="A25:C25"/>
    <mergeCell ref="V27:X27"/>
    <mergeCell ref="Y27:Z27"/>
    <mergeCell ref="AA27:AC27"/>
    <mergeCell ref="A28:C28"/>
    <mergeCell ref="D28:L28"/>
    <mergeCell ref="N28:O28"/>
    <mergeCell ref="Q28:R28"/>
    <mergeCell ref="S28:U28"/>
    <mergeCell ref="V28:X28"/>
    <mergeCell ref="Y28:Z28"/>
    <mergeCell ref="Q56:AC56"/>
    <mergeCell ref="Q57:AC57"/>
    <mergeCell ref="A56:M56"/>
    <mergeCell ref="A30:Z30"/>
    <mergeCell ref="A31:AC39"/>
    <mergeCell ref="Q52:AC54"/>
    <mergeCell ref="A3:I3"/>
    <mergeCell ref="A1:J1"/>
    <mergeCell ref="K1:X3"/>
    <mergeCell ref="Y1:AC3"/>
    <mergeCell ref="A2:J2"/>
    <mergeCell ref="A52:M54"/>
    <mergeCell ref="A41:AC41"/>
    <mergeCell ref="A43:K43"/>
    <mergeCell ref="L43:O43"/>
    <mergeCell ref="Q43:Z43"/>
    <mergeCell ref="AA43:AC43"/>
    <mergeCell ref="A57:M57"/>
    <mergeCell ref="AA28:AC28"/>
    <mergeCell ref="A27:C27"/>
    <mergeCell ref="D27:L27"/>
    <mergeCell ref="N27:O27"/>
    <mergeCell ref="Q27:R27"/>
    <mergeCell ref="S27:U27"/>
  </mergeCells>
  <conditionalFormatting sqref="A1:X1 A2:A3 K2:X2 J3:X3 Q57 A5:AC50 AB58:AC58 BB52 A52:N54 AO52:AO53 Q52:AC54 AO54:AP54 Q56:W56 B55:J55 A57:J57 A56">
    <cfRule type="cellIs" dxfId="1" priority="2" operator="equal">
      <formula>0</formula>
    </cfRule>
  </conditionalFormatting>
  <conditionalFormatting sqref="A4:AC4">
    <cfRule type="cellIs" dxfId="0" priority="1" operator="equal">
      <formula>0</formula>
    </cfRule>
  </conditionalFormatting>
  <printOptions horizontalCentered="1"/>
  <pageMargins left="0.25" right="0.25" top="0.5" bottom="0" header="0.3" footer="0.3"/>
  <pageSetup scale="94" orientation="portrait" r:id="rId1"/>
  <headerFooter>
    <oddFooter>&amp;C&amp;P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84:AO214"/>
  <sheetViews>
    <sheetView showGridLines="0" zoomScaleNormal="100" workbookViewId="0">
      <selection sqref="A1:XFD83"/>
    </sheetView>
  </sheetViews>
  <sheetFormatPr defaultColWidth="3.7109375" defaultRowHeight="15" x14ac:dyDescent="0.25"/>
  <cols>
    <col min="1" max="1" customWidth="true" style="1" width="3.7109375" collapsed="false"/>
    <col min="2" max="30" style="1" width="3.7109375" collapsed="false"/>
    <col min="31" max="31" bestFit="true" customWidth="true" style="1" width="8.42578125" collapsed="false"/>
    <col min="32" max="32" bestFit="true" customWidth="true" style="1" width="23.42578125" collapsed="false"/>
    <col min="33" max="16384" style="1" width="3.7109375" collapsed="false"/>
  </cols>
  <sheetData>
    <row r="84" spans="1:41" customFormat="1" ht="12.75" customHeight="1" x14ac:dyDescent="0.25"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1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1"/>
      <c r="AG84" s="1"/>
      <c r="AH84" s="1"/>
      <c r="AI84" s="1"/>
      <c r="AJ84" s="1"/>
      <c r="AK84" s="1"/>
      <c r="AL84" s="1"/>
      <c r="AM84" s="1"/>
      <c r="AN84" s="1"/>
      <c r="AO84" s="1"/>
    </row>
    <row r="85" spans="1:41" customFormat="1" ht="21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41" customFormat="1" ht="6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41" customFormat="1" ht="1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41" customFormat="1" ht="1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41" customFormat="1" ht="1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41" customFormat="1" ht="1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41" customFormat="1" ht="1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41" customFormat="1" ht="3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41" customFormat="1" ht="5.2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41" customFormat="1" ht="12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41" customFormat="1" ht="20.2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41" customFormat="1" ht="12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customFormat="1" ht="12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customFormat="1" ht="12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customFormat="1" ht="12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customFormat="1" ht="12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customFormat="1" ht="12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customFormat="1" ht="12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customFormat="1" ht="12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1:29" customFormat="1" ht="12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1:29" customFormat="1" ht="12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1:29" customFormat="1" ht="12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1:29" customFormat="1" ht="12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1:29" customFormat="1" ht="6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1:29" customFormat="1" ht="12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1:29" customFormat="1" ht="12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1:29" customFormat="1" ht="12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1:29" customFormat="1" ht="12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customFormat="1" ht="12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1:29" customFormat="1" ht="12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1:29" customFormat="1" ht="6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customFormat="1" ht="12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1:29" customFormat="1" ht="12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1:29" customFormat="1" ht="12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1:29" customFormat="1" ht="12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1:29" customFormat="1" ht="12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1:29" customFormat="1" ht="12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 customFormat="1" ht="6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 customFormat="1" ht="12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1:29" customFormat="1" ht="12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1:29" customFormat="1" ht="12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1:29" customFormat="1" ht="12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1:29" customFormat="1" ht="12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1:29" customFormat="1" ht="12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1:32" customFormat="1" ht="6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1:32" customFormat="1" ht="12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1:32" customFormat="1" ht="12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1:32" customFormat="1" ht="12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1:32" customFormat="1" ht="12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1:32" customFormat="1" ht="12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E134" s="44"/>
      <c r="AF134" s="44"/>
    </row>
    <row r="135" spans="1:32" customFormat="1" ht="12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1:32" s="44" customFormat="1" ht="6.75" customHeight="1" x14ac:dyDescent="0.25">
      <c r="AE136"/>
      <c r="AF136"/>
    </row>
    <row r="137" spans="1:32" customFormat="1" ht="12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1:32" customFormat="1" ht="12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1:32" customFormat="1" ht="12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</row>
    <row r="140" spans="1:32" customFormat="1" ht="12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</row>
    <row r="141" spans="1:32" customFormat="1" ht="12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</row>
    <row r="142" spans="1:32" customFormat="1" ht="12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1:32" customFormat="1" ht="6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1:32" customForma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1:30" customForma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</row>
    <row r="146" spans="1:30" customForma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</row>
    <row r="147" spans="1:30" customForma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</row>
    <row r="148" spans="1:30" customForma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</row>
    <row r="149" spans="1:30" customForma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</row>
    <row r="150" spans="1:30" customForma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</row>
    <row r="151" spans="1:30" customForma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</row>
    <row r="152" spans="1:30" customForma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</row>
    <row r="153" spans="1:30" customForma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</row>
    <row r="154" spans="1:30" customForma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</row>
    <row r="155" spans="1:30" customForma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</row>
    <row r="156" spans="1:30" customForma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</row>
    <row r="157" spans="1:30" customForma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</row>
    <row r="158" spans="1:30" customForma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</row>
    <row r="159" spans="1:30" customForma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</row>
    <row r="160" spans="1:30" customForma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</row>
    <row r="161" spans="1:32" customForma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1:32" customForma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</row>
    <row r="163" spans="1:32" customForma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</row>
    <row r="164" spans="1:32" customForma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</row>
    <row r="165" spans="1:32" customForma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</row>
    <row r="166" spans="1:32" customForma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</row>
    <row r="167" spans="1:32" customForma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</row>
    <row r="168" spans="1:32" customForma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</row>
    <row r="169" spans="1:32" customForma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</row>
    <row r="170" spans="1:32" customForma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</row>
    <row r="171" spans="1:32" customForma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</row>
    <row r="172" spans="1:32" customForma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</row>
    <row r="173" spans="1:32" customForma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</row>
    <row r="174" spans="1:32" customForma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</row>
    <row r="175" spans="1:32" customForma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</row>
    <row r="176" spans="1:32" customForma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</row>
    <row r="177" spans="1:32" customForma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</row>
    <row r="178" spans="1:32" x14ac:dyDescent="0.25">
      <c r="AD178" s="36"/>
      <c r="AE178"/>
      <c r="AF178"/>
    </row>
    <row r="179" spans="1:32" customFormat="1" ht="22.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1:32" customForma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E180" s="1"/>
      <c r="AF180" s="1"/>
    </row>
    <row r="181" spans="1:32" customFormat="1" ht="21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E181" s="1"/>
      <c r="AF181" s="1"/>
    </row>
    <row r="182" spans="1:32" ht="10.5" customHeight="1" x14ac:dyDescent="0.25"/>
    <row r="184" spans="1:32" ht="7.5" customHeight="1" x14ac:dyDescent="0.25"/>
    <row r="208" ht="15" customHeight="1" x14ac:dyDescent="0.25"/>
    <row r="214" ht="15" customHeight="1" x14ac:dyDescent="0.25"/>
  </sheetData>
  <printOptions horizontalCentered="1"/>
  <pageMargins left="0.25" right="0.15" top="0.25" bottom="0.5" header="0" footer="0.25"/>
  <pageSetup fitToHeight="0" orientation="portrait" r:id="rId1"/>
  <headerFooter>
    <oddFooter>&amp;C&amp;P of &amp;N</oddFooter>
  </headerFooter>
  <rowBreaks count="2" manualBreakCount="2">
    <brk id="45" max="16383" man="1"/>
    <brk id="178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191"/>
  <sheetViews>
    <sheetView showGridLines="0" topLeftCell="A81" workbookViewId="0">
      <selection activeCell="O95" sqref="A1:XFD95"/>
    </sheetView>
  </sheetViews>
  <sheetFormatPr defaultColWidth="3.7109375" defaultRowHeight="15" x14ac:dyDescent="0.25"/>
  <cols>
    <col min="1" max="29" style="1" width="3.7109375" collapsed="false"/>
    <col min="37" max="37" bestFit="true" customWidth="true" width="8.42578125" collapsed="false"/>
  </cols>
  <sheetData>
    <row r="1" spans="1:29" ht="21" x14ac:dyDescent="0.35">
      <c r="A1" s="179" t="s">
        <v>133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</row>
    <row r="2" spans="1:29" ht="6.95" customHeight="1" thickBot="1" x14ac:dyDescent="0.3"/>
    <row r="3" spans="1:29" x14ac:dyDescent="0.25">
      <c r="A3" s="158" t="s">
        <v>1</v>
      </c>
      <c r="B3" s="159"/>
      <c r="C3" s="160" t="s">
        <v>565</v>
      </c>
      <c r="D3" s="160"/>
      <c r="E3" s="160"/>
      <c r="F3" s="160"/>
      <c r="G3" s="160"/>
      <c r="H3" s="39"/>
      <c r="I3" s="161" t="s">
        <v>134</v>
      </c>
      <c r="J3" s="161"/>
      <c r="K3" s="161"/>
      <c r="L3" s="161"/>
      <c r="M3" s="162" t="s">
        <v>177</v>
      </c>
      <c r="N3" s="162"/>
      <c r="O3" s="162"/>
      <c r="P3" s="162"/>
      <c r="Q3" s="39"/>
      <c r="R3" s="161" t="s">
        <v>51</v>
      </c>
      <c r="S3" s="161"/>
      <c r="T3" s="161"/>
      <c r="U3" s="161"/>
      <c r="V3" s="161"/>
      <c r="W3" s="151" t="s">
        <v>6</v>
      </c>
      <c r="X3" s="151"/>
      <c r="Y3" s="151"/>
      <c r="Z3" s="151"/>
      <c r="AA3" s="151"/>
      <c r="AB3" s="151"/>
      <c r="AC3" s="45"/>
    </row>
    <row r="4" spans="1:29" x14ac:dyDescent="0.25">
      <c r="A4" s="163" t="s">
        <v>135</v>
      </c>
      <c r="B4" s="164"/>
      <c r="C4" s="164"/>
      <c r="D4" s="165" t="s">
        <v>566</v>
      </c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6" t="s">
        <v>136</v>
      </c>
      <c r="P4" s="166"/>
      <c r="Q4" s="154" t="s">
        <v>567</v>
      </c>
      <c r="R4" s="154"/>
      <c r="S4" s="154"/>
      <c r="T4" s="154"/>
      <c r="U4" s="154"/>
      <c r="V4" s="154"/>
      <c r="W4" s="154"/>
      <c r="X4" s="154"/>
      <c r="Y4" s="154"/>
      <c r="Z4" s="154"/>
      <c r="AA4" s="154"/>
      <c r="AB4" s="154"/>
      <c r="AC4" s="46"/>
    </row>
    <row r="5" spans="1:29" x14ac:dyDescent="0.25">
      <c r="A5" s="163" t="s">
        <v>137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56" t="s">
        <v>178</v>
      </c>
      <c r="U5" s="156"/>
      <c r="V5" s="156"/>
      <c r="W5" s="157" t="s">
        <v>138</v>
      </c>
      <c r="X5" s="157"/>
      <c r="Y5" s="157"/>
      <c r="Z5" s="156" t="s">
        <v>219</v>
      </c>
      <c r="AA5" s="156"/>
      <c r="AB5" s="156"/>
      <c r="AC5" s="46"/>
    </row>
    <row r="6" spans="1:29" x14ac:dyDescent="0.25">
      <c r="A6" s="167" t="s">
        <v>129</v>
      </c>
      <c r="B6" s="168"/>
      <c r="C6" s="168"/>
      <c r="D6" s="168"/>
      <c r="E6" s="155" t="s">
        <v>36</v>
      </c>
      <c r="F6" s="155"/>
      <c r="G6" s="155"/>
      <c r="H6" s="155"/>
      <c r="I6" s="155"/>
      <c r="J6" s="155"/>
      <c r="K6" s="155"/>
      <c r="L6" s="155"/>
      <c r="M6" s="155"/>
      <c r="N6" s="155"/>
      <c r="O6" s="155"/>
      <c r="P6" s="155"/>
      <c r="Q6" s="155"/>
      <c r="R6" s="155"/>
      <c r="S6" s="155"/>
      <c r="T6" s="155"/>
      <c r="U6" s="155"/>
      <c r="V6" s="155"/>
      <c r="W6" s="155"/>
      <c r="X6" s="155"/>
      <c r="Y6" s="155"/>
      <c r="Z6" s="155"/>
      <c r="AA6" s="155"/>
      <c r="AB6" s="155"/>
      <c r="AC6" s="46"/>
    </row>
    <row r="7" spans="1:29" x14ac:dyDescent="0.25">
      <c r="A7" s="167"/>
      <c r="B7" s="168"/>
      <c r="C7" s="168"/>
      <c r="D7" s="168"/>
      <c r="E7" s="155"/>
      <c r="F7" s="155"/>
      <c r="G7" s="155"/>
      <c r="H7" s="155"/>
      <c r="I7" s="155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46"/>
    </row>
    <row r="8" spans="1:29" ht="6.95" customHeight="1" thickBot="1" x14ac:dyDescent="0.3">
      <c r="A8" s="40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51"/>
      <c r="AC8" s="47"/>
    </row>
    <row r="9" spans="1:29" ht="6.95" customHeight="1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/>
      <c r="AC9"/>
    </row>
    <row r="10" spans="1:29" x14ac:dyDescent="0.25">
      <c r="A10" s="142" t="s">
        <v>139</v>
      </c>
      <c r="B10" s="142"/>
      <c r="C10" s="143" t="s">
        <v>140</v>
      </c>
      <c r="D10" s="143"/>
      <c r="E10" s="143"/>
      <c r="F10" s="143"/>
      <c r="G10" s="143"/>
      <c r="H10" s="143"/>
      <c r="I10" s="144" t="s">
        <v>141</v>
      </c>
      <c r="J10" s="144"/>
      <c r="K10" s="144"/>
      <c r="L10" s="144"/>
      <c r="M10" s="144"/>
      <c r="N10" s="144"/>
      <c r="O10" s="144"/>
      <c r="P10" s="144"/>
      <c r="Q10" s="140" t="s">
        <v>142</v>
      </c>
      <c r="R10" s="140"/>
      <c r="S10" s="140"/>
      <c r="T10" s="140"/>
      <c r="U10" s="140"/>
      <c r="V10" s="140"/>
      <c r="W10" s="140"/>
      <c r="X10" s="140"/>
      <c r="Y10" s="140"/>
      <c r="Z10" s="148" t="s">
        <v>179</v>
      </c>
      <c r="AA10" s="148"/>
      <c r="AB10" s="148"/>
      <c r="AC10" s="148"/>
    </row>
    <row r="11" spans="1:29" x14ac:dyDescent="0.25">
      <c r="A11" s="145" t="s">
        <v>143</v>
      </c>
      <c r="B11" s="145"/>
      <c r="C11" s="145"/>
      <c r="D11" s="152"/>
      <c r="E11" s="152"/>
      <c r="F11" s="152"/>
      <c r="G11" s="152"/>
      <c r="H11" s="146" t="s">
        <v>144</v>
      </c>
      <c r="I11" s="146"/>
      <c r="J11" s="153" t="s">
        <v>180</v>
      </c>
      <c r="K11" s="153"/>
      <c r="L11" s="153"/>
      <c r="M11" s="153"/>
      <c r="N11" s="139" t="s">
        <v>145</v>
      </c>
      <c r="O11" s="139"/>
      <c r="P11" s="53" t="s">
        <v>146</v>
      </c>
      <c r="Q11" s="140" t="s">
        <v>147</v>
      </c>
      <c r="R11" s="140"/>
      <c r="S11" s="148" t="s">
        <v>181</v>
      </c>
      <c r="T11" s="148"/>
      <c r="U11" s="140" t="s">
        <v>148</v>
      </c>
      <c r="V11" s="140"/>
      <c r="W11" s="148" t="s">
        <v>182</v>
      </c>
      <c r="X11" s="148"/>
      <c r="Y11" s="140" t="s">
        <v>149</v>
      </c>
      <c r="Z11" s="140"/>
      <c r="AA11" s="140"/>
      <c r="AB11" s="148" t="s">
        <v>183</v>
      </c>
      <c r="AC11" s="148"/>
    </row>
    <row r="12" spans="1:29" x14ac:dyDescent="0.25">
      <c r="A12" s="147" t="s">
        <v>150</v>
      </c>
      <c r="B12" s="147"/>
      <c r="C12" s="147"/>
      <c r="D12" s="147"/>
      <c r="E12" s="147"/>
      <c r="F12" s="147"/>
      <c r="G12" s="147"/>
      <c r="H12" s="147"/>
      <c r="I12" s="147"/>
      <c r="J12" s="148" t="s">
        <v>151</v>
      </c>
      <c r="K12" s="148"/>
      <c r="L12" s="148"/>
      <c r="M12" s="42"/>
      <c r="N12" s="42"/>
      <c r="O12" s="143" t="s">
        <v>152</v>
      </c>
      <c r="P12" s="143"/>
      <c r="Q12" s="143"/>
      <c r="R12" s="148" t="s">
        <v>153</v>
      </c>
      <c r="S12" s="148"/>
    </row>
    <row r="13" spans="1:29" x14ac:dyDescent="0.25">
      <c r="A13" s="147" t="s">
        <v>154</v>
      </c>
      <c r="B13" s="147"/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/>
      <c r="AC13"/>
    </row>
    <row r="14" spans="1:29" x14ac:dyDescent="0.25">
      <c r="A14" s="149" t="s">
        <v>155</v>
      </c>
      <c r="B14" s="149"/>
      <c r="C14" s="149"/>
      <c r="D14" s="149"/>
      <c r="E14" s="149"/>
      <c r="F14" s="149"/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49"/>
      <c r="S14" s="149"/>
      <c r="T14" s="149"/>
      <c r="U14" s="149"/>
      <c r="V14" s="149"/>
      <c r="W14" s="149"/>
      <c r="X14" s="149"/>
      <c r="Y14" s="149"/>
      <c r="Z14" s="149"/>
      <c r="AA14" s="149"/>
      <c r="AB14" s="149"/>
      <c r="AC14" s="149"/>
    </row>
    <row r="15" spans="1:29" x14ac:dyDescent="0.25">
      <c r="A15" s="149"/>
      <c r="B15" s="149"/>
      <c r="C15" s="149"/>
      <c r="D15" s="149"/>
      <c r="E15" s="149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49"/>
      <c r="R15" s="149"/>
      <c r="S15" s="149"/>
      <c r="T15" s="149"/>
      <c r="U15" s="149"/>
      <c r="V15" s="149"/>
      <c r="W15" s="149"/>
      <c r="X15" s="149"/>
      <c r="Y15" s="149"/>
      <c r="Z15" s="149"/>
      <c r="AA15" s="149"/>
      <c r="AB15" s="149"/>
      <c r="AC15" s="149"/>
    </row>
    <row r="16" spans="1:29" x14ac:dyDescent="0.25">
      <c r="A16" s="149"/>
      <c r="B16" s="149"/>
      <c r="C16" s="149"/>
      <c r="D16" s="149"/>
      <c r="E16" s="149"/>
      <c r="F16" s="149"/>
      <c r="G16" s="149"/>
      <c r="H16" s="149"/>
      <c r="I16" s="149"/>
      <c r="J16" s="149"/>
      <c r="K16" s="149"/>
      <c r="L16" s="149"/>
      <c r="M16" s="149"/>
      <c r="N16" s="149"/>
      <c r="O16" s="149"/>
      <c r="P16" s="149"/>
      <c r="Q16" s="149"/>
      <c r="R16" s="149"/>
      <c r="S16" s="149"/>
      <c r="T16" s="149"/>
      <c r="U16" s="149"/>
      <c r="V16" s="149"/>
      <c r="W16" s="149"/>
      <c r="X16" s="149"/>
      <c r="Y16" s="149"/>
      <c r="Z16" s="149"/>
      <c r="AA16" s="149"/>
      <c r="AB16" s="149"/>
      <c r="AC16" s="149"/>
    </row>
    <row r="17" spans="1:29" ht="6.95" customHeight="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/>
      <c r="AC17"/>
    </row>
    <row r="18" spans="1:29" x14ac:dyDescent="0.25">
      <c r="A18" s="147" t="s">
        <v>156</v>
      </c>
      <c r="B18" s="147"/>
      <c r="C18" s="147"/>
      <c r="D18" s="147"/>
      <c r="E18" s="147"/>
      <c r="F18" s="147"/>
      <c r="G18" s="147"/>
      <c r="H18" s="147"/>
      <c r="I18" s="150" t="s">
        <v>157</v>
      </c>
      <c r="J18" s="150"/>
      <c r="K18" s="150"/>
      <c r="L18" s="150"/>
      <c r="M18" s="150"/>
      <c r="N18" s="150"/>
      <c r="O18" s="150"/>
      <c r="P18" s="150"/>
      <c r="Q18" s="150"/>
      <c r="R18" s="150"/>
      <c r="S18" s="150"/>
      <c r="T18" s="150"/>
      <c r="U18" s="150"/>
      <c r="V18" s="150"/>
      <c r="W18" s="150"/>
      <c r="X18" s="150"/>
      <c r="Y18" s="150"/>
      <c r="Z18" s="150"/>
      <c r="AA18" s="150"/>
      <c r="AB18" s="150"/>
      <c r="AC18" s="150"/>
    </row>
    <row r="19" spans="1:29" x14ac:dyDescent="0.25">
      <c r="A19" s="42" t="s">
        <v>158</v>
      </c>
      <c r="B19" s="42"/>
      <c r="C19" s="42"/>
      <c r="D19" s="42"/>
      <c r="E19" s="42"/>
      <c r="F19" s="141" t="s">
        <v>160</v>
      </c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</row>
    <row r="20" spans="1:29" x14ac:dyDescent="0.25">
      <c r="A20" s="147" t="s">
        <v>161</v>
      </c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8" t="s">
        <v>162</v>
      </c>
      <c r="N20" s="148"/>
      <c r="O20" s="148"/>
      <c r="P20" s="148"/>
      <c r="Q20" s="171" t="s">
        <v>163</v>
      </c>
      <c r="R20" s="171"/>
      <c r="S20" s="171"/>
      <c r="T20" s="171"/>
      <c r="U20" s="171"/>
      <c r="V20" s="171"/>
      <c r="W20" s="171"/>
      <c r="X20" s="171"/>
      <c r="Y20" s="171"/>
      <c r="Z20" s="148" t="s">
        <v>164</v>
      </c>
      <c r="AA20" s="148"/>
      <c r="AB20" s="148"/>
      <c r="AC20" s="148"/>
    </row>
    <row r="21" spans="1:29" x14ac:dyDescent="0.25">
      <c r="A21" s="169" t="s">
        <v>165</v>
      </c>
      <c r="B21" s="169"/>
      <c r="C21" s="169"/>
      <c r="D21" s="169"/>
      <c r="E21" s="169"/>
      <c r="F21" s="169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S21" s="169"/>
      <c r="T21" s="169"/>
      <c r="U21" s="169"/>
      <c r="V21" s="169"/>
      <c r="W21" s="169"/>
      <c r="X21" s="169"/>
      <c r="Y21" s="169"/>
      <c r="Z21" s="169"/>
      <c r="AA21" s="169"/>
      <c r="AB21"/>
      <c r="AC21"/>
    </row>
    <row r="22" spans="1:29" x14ac:dyDescent="0.25">
      <c r="A22" s="149" t="s">
        <v>166</v>
      </c>
      <c r="B22" s="149"/>
      <c r="C22" s="149"/>
      <c r="D22" s="149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49"/>
      <c r="V22" s="149"/>
      <c r="W22" s="149"/>
      <c r="X22" s="149"/>
      <c r="Y22" s="149"/>
      <c r="Z22" s="149"/>
      <c r="AA22" s="149"/>
      <c r="AB22" s="149"/>
      <c r="AC22" s="149"/>
    </row>
    <row r="23" spans="1:29" x14ac:dyDescent="0.25">
      <c r="A23" s="149"/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149"/>
      <c r="X23" s="149"/>
      <c r="Y23" s="149"/>
      <c r="Z23" s="149"/>
      <c r="AA23" s="149"/>
      <c r="AB23" s="149"/>
      <c r="AC23" s="149"/>
    </row>
    <row r="24" spans="1:29" ht="6.95" customHeight="1" x14ac:dyDescent="0.25">
      <c r="A24" s="42"/>
      <c r="B24" s="42"/>
      <c r="C24" s="42"/>
      <c r="D24" s="42"/>
      <c r="E24" s="42"/>
      <c r="F24"/>
      <c r="G24"/>
      <c r="H24"/>
      <c r="I24"/>
      <c r="J24" s="42"/>
      <c r="K24" s="42"/>
      <c r="L24" s="42"/>
      <c r="M24" s="42"/>
      <c r="N24" s="42"/>
      <c r="O24" s="42"/>
      <c r="P24"/>
      <c r="Q24"/>
      <c r="R24" s="42"/>
      <c r="S24" s="42"/>
      <c r="T24" s="42"/>
      <c r="U24" s="42"/>
      <c r="V24" s="42"/>
      <c r="W24" s="42"/>
      <c r="X24" s="42"/>
      <c r="Y24" s="42"/>
      <c r="Z24" s="43"/>
      <c r="AA24" s="43"/>
      <c r="AB24"/>
      <c r="AC24"/>
    </row>
    <row r="25" spans="1:29" x14ac:dyDescent="0.25">
      <c r="A25" s="145" t="s">
        <v>167</v>
      </c>
      <c r="B25" s="145"/>
      <c r="C25" s="145"/>
      <c r="D25" s="48"/>
      <c r="E25" s="141" t="s">
        <v>168</v>
      </c>
      <c r="F25" s="141"/>
      <c r="G25" s="141"/>
      <c r="H25" s="141"/>
      <c r="I25" s="141"/>
      <c r="J25" s="141"/>
      <c r="K25" s="141"/>
      <c r="L25" s="141"/>
      <c r="M25" s="170" t="s">
        <v>147</v>
      </c>
      <c r="N25" s="170"/>
      <c r="O25" s="148" t="s">
        <v>184</v>
      </c>
      <c r="P25" s="148"/>
      <c r="Q25" s="148"/>
      <c r="R25" s="148"/>
      <c r="S25" s="170" t="s">
        <v>148</v>
      </c>
      <c r="T25" s="170"/>
      <c r="U25" s="148" t="s">
        <v>185</v>
      </c>
      <c r="V25" s="148"/>
      <c r="W25" s="148"/>
      <c r="X25" s="148"/>
      <c r="Y25" s="170" t="s">
        <v>149</v>
      </c>
      <c r="Z25" s="170"/>
      <c r="AA25" s="170"/>
      <c r="AB25" s="148" t="s">
        <v>186</v>
      </c>
      <c r="AC25" s="148"/>
    </row>
    <row r="26" spans="1:29" x14ac:dyDescent="0.25">
      <c r="A26" s="42" t="s">
        <v>158</v>
      </c>
      <c r="B26" s="42"/>
      <c r="C26" s="42"/>
      <c r="D26" s="42"/>
      <c r="E26" s="42"/>
      <c r="F26" s="143" t="s">
        <v>159</v>
      </c>
      <c r="G26" s="143"/>
      <c r="H26" s="143"/>
      <c r="I26" s="143"/>
      <c r="J26" s="143"/>
      <c r="K26" s="144" t="s">
        <v>187</v>
      </c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</row>
    <row r="27" spans="1:29" x14ac:dyDescent="0.25">
      <c r="A27" s="169" t="s">
        <v>161</v>
      </c>
      <c r="B27" s="169"/>
      <c r="C27" s="169"/>
      <c r="D27" s="169"/>
      <c r="E27" s="169"/>
      <c r="F27" s="169"/>
      <c r="G27" s="169"/>
      <c r="H27" s="169"/>
      <c r="I27" s="169"/>
      <c r="J27" s="169"/>
      <c r="K27" s="169"/>
      <c r="L27" s="173" t="s">
        <v>188</v>
      </c>
      <c r="M27" s="173"/>
      <c r="N27" s="173"/>
      <c r="O27" s="173"/>
      <c r="P27" s="171" t="s">
        <v>163</v>
      </c>
      <c r="Q27" s="171"/>
      <c r="R27" s="171"/>
      <c r="S27" s="171"/>
      <c r="T27" s="171"/>
      <c r="U27" s="171"/>
      <c r="V27" s="171"/>
      <c r="W27" s="171"/>
      <c r="X27" s="171"/>
      <c r="Y27" s="172" t="s">
        <v>189</v>
      </c>
      <c r="Z27" s="172"/>
      <c r="AA27" s="172"/>
      <c r="AB27" s="172"/>
      <c r="AC27" s="172"/>
    </row>
    <row r="28" spans="1:29" x14ac:dyDescent="0.25">
      <c r="A28" s="169" t="s">
        <v>165</v>
      </c>
      <c r="B28" s="169"/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69"/>
      <c r="W28" s="143" t="s">
        <v>169</v>
      </c>
      <c r="X28" s="143"/>
      <c r="Y28" s="143"/>
      <c r="Z28" s="173" t="s">
        <v>191</v>
      </c>
      <c r="AA28" s="173"/>
      <c r="AB28" s="173"/>
      <c r="AC28" s="173"/>
    </row>
    <row r="29" spans="1:29" x14ac:dyDescent="0.25">
      <c r="A29" s="149" t="s">
        <v>190</v>
      </c>
      <c r="B29" s="149"/>
      <c r="C29" s="149"/>
      <c r="D29" s="149"/>
      <c r="E29" s="149"/>
      <c r="F29" s="149"/>
      <c r="G29" s="149"/>
      <c r="H29" s="149"/>
      <c r="I29" s="149"/>
      <c r="J29" s="149"/>
      <c r="K29" s="149"/>
      <c r="L29" s="149"/>
      <c r="M29" s="149"/>
      <c r="N29" s="149"/>
      <c r="O29" s="149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49"/>
      <c r="AA29" s="149"/>
      <c r="AB29" s="149"/>
      <c r="AC29" s="149"/>
    </row>
    <row r="30" spans="1:29" x14ac:dyDescent="0.25">
      <c r="A30" s="149"/>
      <c r="B30" s="149"/>
      <c r="C30" s="149"/>
      <c r="D30" s="149"/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149"/>
      <c r="W30" s="149"/>
      <c r="X30" s="149"/>
      <c r="Y30" s="149"/>
      <c r="Z30" s="149"/>
      <c r="AA30" s="149"/>
      <c r="AB30" s="149"/>
      <c r="AC30" s="149"/>
    </row>
    <row r="31" spans="1:29" ht="6.95" customHeight="1" x14ac:dyDescent="0.25">
      <c r="A31" s="42"/>
      <c r="B31" s="42"/>
      <c r="C31" s="42"/>
      <c r="D31" s="42"/>
      <c r="E31" s="42"/>
      <c r="F31"/>
      <c r="G31"/>
      <c r="H31"/>
      <c r="I31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4"/>
      <c r="AC31" s="44"/>
    </row>
    <row r="32" spans="1:29" x14ac:dyDescent="0.25">
      <c r="A32" s="145" t="s">
        <v>167</v>
      </c>
      <c r="B32" s="145"/>
      <c r="C32" s="145"/>
      <c r="D32" s="48"/>
      <c r="E32" s="141" t="s">
        <v>192</v>
      </c>
      <c r="F32" s="141"/>
      <c r="G32" s="141"/>
      <c r="H32" s="141"/>
      <c r="I32" s="141"/>
      <c r="J32" s="141"/>
      <c r="K32" s="141"/>
      <c r="L32" s="141"/>
      <c r="M32" s="170" t="s">
        <v>147</v>
      </c>
      <c r="N32" s="170"/>
      <c r="O32" s="148" t="s">
        <v>193</v>
      </c>
      <c r="P32" s="148"/>
      <c r="Q32" s="148"/>
      <c r="R32" s="148"/>
      <c r="S32" s="170" t="s">
        <v>148</v>
      </c>
      <c r="T32" s="170"/>
      <c r="U32" s="148" t="s">
        <v>194</v>
      </c>
      <c r="V32" s="148"/>
      <c r="W32" s="148"/>
      <c r="X32" s="148"/>
      <c r="Y32" s="170" t="s">
        <v>149</v>
      </c>
      <c r="Z32" s="170"/>
      <c r="AA32" s="170"/>
      <c r="AB32" s="148" t="s">
        <v>195</v>
      </c>
      <c r="AC32" s="148"/>
    </row>
    <row r="33" spans="1:29" x14ac:dyDescent="0.25">
      <c r="A33" s="42" t="s">
        <v>158</v>
      </c>
      <c r="B33" s="42"/>
      <c r="C33" s="42"/>
      <c r="D33" s="42"/>
      <c r="E33" s="42"/>
      <c r="F33" s="143" t="s">
        <v>159</v>
      </c>
      <c r="G33" s="143"/>
      <c r="H33" s="143"/>
      <c r="I33" s="143"/>
      <c r="J33" s="143"/>
      <c r="K33" s="144" t="s">
        <v>196</v>
      </c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</row>
    <row r="34" spans="1:29" x14ac:dyDescent="0.25">
      <c r="A34" s="169" t="s">
        <v>161</v>
      </c>
      <c r="B34" s="169"/>
      <c r="C34" s="169"/>
      <c r="D34" s="169"/>
      <c r="E34" s="169"/>
      <c r="F34" s="169"/>
      <c r="G34" s="169"/>
      <c r="H34" s="169"/>
      <c r="I34" s="169"/>
      <c r="J34" s="169"/>
      <c r="K34" s="169"/>
      <c r="L34" s="148" t="s">
        <v>197</v>
      </c>
      <c r="M34" s="148"/>
      <c r="N34" s="148"/>
      <c r="P34" s="171" t="s">
        <v>163</v>
      </c>
      <c r="Q34" s="171"/>
      <c r="R34" s="171"/>
      <c r="S34" s="171"/>
      <c r="T34" s="171"/>
      <c r="U34" s="171"/>
      <c r="V34" s="171"/>
      <c r="W34" s="171"/>
      <c r="X34" s="171"/>
      <c r="Y34" s="172" t="s">
        <v>198</v>
      </c>
      <c r="Z34" s="172"/>
      <c r="AA34" s="172"/>
      <c r="AB34" s="172"/>
      <c r="AC34" s="172"/>
    </row>
    <row r="35" spans="1:29" x14ac:dyDescent="0.25">
      <c r="A35" s="169" t="s">
        <v>165</v>
      </c>
      <c r="B35" s="169"/>
      <c r="C35" s="169"/>
      <c r="D35" s="169"/>
      <c r="E35" s="169"/>
      <c r="F35" s="169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43" t="s">
        <v>169</v>
      </c>
      <c r="X35" s="143"/>
      <c r="Y35" s="143"/>
      <c r="Z35" s="173" t="s">
        <v>200</v>
      </c>
      <c r="AA35" s="173"/>
      <c r="AB35" s="173"/>
      <c r="AC35" s="173"/>
    </row>
    <row r="36" spans="1:29" x14ac:dyDescent="0.25">
      <c r="A36" s="149" t="s">
        <v>199</v>
      </c>
      <c r="B36" s="149"/>
      <c r="C36" s="149"/>
      <c r="D36" s="149"/>
      <c r="E36" s="149"/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149"/>
      <c r="W36" s="149"/>
      <c r="X36" s="149"/>
      <c r="Y36" s="149"/>
      <c r="Z36" s="149"/>
      <c r="AA36" s="149"/>
      <c r="AB36" s="149"/>
      <c r="AC36" s="149"/>
    </row>
    <row r="37" spans="1:29" x14ac:dyDescent="0.25">
      <c r="A37" s="149"/>
      <c r="B37" s="149"/>
      <c r="C37" s="149"/>
      <c r="D37" s="149"/>
      <c r="E37" s="149"/>
      <c r="F37" s="149"/>
      <c r="G37" s="149"/>
      <c r="H37" s="149"/>
      <c r="I37" s="149"/>
      <c r="J37" s="149"/>
      <c r="K37" s="149"/>
      <c r="L37" s="149"/>
      <c r="M37" s="149"/>
      <c r="N37" s="149"/>
      <c r="O37" s="149"/>
      <c r="P37" s="149"/>
      <c r="Q37" s="149"/>
      <c r="R37" s="149"/>
      <c r="S37" s="149"/>
      <c r="T37" s="149"/>
      <c r="U37" s="149"/>
      <c r="V37" s="149"/>
      <c r="W37" s="149"/>
      <c r="X37" s="149"/>
      <c r="Y37" s="149"/>
      <c r="Z37" s="149"/>
      <c r="AA37" s="149"/>
      <c r="AB37" s="149"/>
      <c r="AC37" s="149"/>
    </row>
    <row r="38" spans="1:29" ht="6.95" customHeight="1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3"/>
      <c r="AA38" s="43"/>
      <c r="AB38"/>
      <c r="AC38"/>
    </row>
    <row r="39" spans="1:29" x14ac:dyDescent="0.25">
      <c r="A39" s="145" t="s">
        <v>167</v>
      </c>
      <c r="B39" s="145"/>
      <c r="C39" s="145"/>
      <c r="D39" s="48"/>
      <c r="E39" s="141" t="s">
        <v>201</v>
      </c>
      <c r="F39" s="141"/>
      <c r="G39" s="141"/>
      <c r="H39" s="141"/>
      <c r="I39" s="141"/>
      <c r="J39" s="141"/>
      <c r="K39" s="141"/>
      <c r="L39" s="141"/>
      <c r="M39" s="170" t="s">
        <v>147</v>
      </c>
      <c r="N39" s="170"/>
      <c r="O39" s="148" t="s">
        <v>202</v>
      </c>
      <c r="P39" s="148"/>
      <c r="Q39" s="148"/>
      <c r="R39" s="148"/>
      <c r="S39" s="170" t="s">
        <v>148</v>
      </c>
      <c r="T39" s="170"/>
      <c r="U39" s="174" t="s">
        <v>203</v>
      </c>
      <c r="V39" s="174"/>
      <c r="W39" s="174"/>
      <c r="X39" s="174"/>
      <c r="Y39" s="170" t="s">
        <v>149</v>
      </c>
      <c r="Z39" s="170"/>
      <c r="AA39" s="170"/>
      <c r="AB39" s="148" t="s">
        <v>204</v>
      </c>
      <c r="AC39" s="148"/>
    </row>
    <row r="40" spans="1:29" x14ac:dyDescent="0.25">
      <c r="A40" s="42" t="s">
        <v>158</v>
      </c>
      <c r="B40" s="42"/>
      <c r="C40" s="42"/>
      <c r="D40" s="42"/>
      <c r="E40" s="42"/>
      <c r="F40" s="143" t="s">
        <v>159</v>
      </c>
      <c r="G40" s="143"/>
      <c r="H40" s="143"/>
      <c r="I40" s="143"/>
      <c r="J40" s="143"/>
      <c r="K40" s="144" t="s">
        <v>205</v>
      </c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</row>
    <row r="41" spans="1:29" x14ac:dyDescent="0.25">
      <c r="A41" s="169" t="s">
        <v>161</v>
      </c>
      <c r="B41" s="169"/>
      <c r="C41" s="169"/>
      <c r="D41" s="169"/>
      <c r="E41" s="169"/>
      <c r="F41" s="169"/>
      <c r="G41" s="169"/>
      <c r="H41" s="169"/>
      <c r="I41" s="169"/>
      <c r="J41" s="169"/>
      <c r="K41" s="169"/>
      <c r="L41" s="148" t="s">
        <v>206</v>
      </c>
      <c r="M41" s="148"/>
      <c r="N41" s="148"/>
      <c r="Q41" s="171" t="s">
        <v>163</v>
      </c>
      <c r="R41" s="171"/>
      <c r="S41" s="171"/>
      <c r="T41" s="171"/>
      <c r="U41" s="171"/>
      <c r="V41" s="171"/>
      <c r="W41" s="171"/>
      <c r="X41" s="171"/>
      <c r="Y41" s="171"/>
      <c r="Z41" s="144" t="s">
        <v>207</v>
      </c>
      <c r="AA41" s="144"/>
      <c r="AB41" s="144"/>
      <c r="AC41" s="144"/>
    </row>
    <row r="42" spans="1:29" x14ac:dyDescent="0.25">
      <c r="A42" s="169" t="s">
        <v>165</v>
      </c>
      <c r="B42" s="169"/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S42" s="169"/>
      <c r="T42" s="169"/>
      <c r="U42" s="169"/>
      <c r="V42" s="169"/>
      <c r="W42" s="143" t="s">
        <v>169</v>
      </c>
      <c r="X42" s="143"/>
      <c r="Y42" s="143"/>
      <c r="Z42" s="173" t="s">
        <v>208</v>
      </c>
      <c r="AA42" s="173"/>
      <c r="AB42" s="173"/>
      <c r="AC42" s="173"/>
    </row>
    <row r="43" spans="1:29" x14ac:dyDescent="0.25">
      <c r="A43" s="149" t="s">
        <v>209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149"/>
      <c r="M43" s="149"/>
      <c r="N43" s="149"/>
      <c r="O43" s="149"/>
      <c r="P43" s="149"/>
      <c r="Q43" s="149"/>
      <c r="R43" s="149"/>
      <c r="S43" s="149"/>
      <c r="T43" s="149"/>
      <c r="U43" s="149"/>
      <c r="V43" s="149"/>
      <c r="W43" s="149"/>
      <c r="X43" s="149"/>
      <c r="Y43" s="149"/>
      <c r="Z43" s="149"/>
      <c r="AA43" s="149"/>
      <c r="AB43" s="149"/>
      <c r="AC43" s="149"/>
    </row>
    <row r="44" spans="1:29" x14ac:dyDescent="0.25">
      <c r="A44" s="149"/>
      <c r="B44" s="149"/>
      <c r="C44" s="149"/>
      <c r="D44" s="149"/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149"/>
      <c r="W44" s="149"/>
      <c r="X44" s="149"/>
      <c r="Y44" s="149"/>
      <c r="Z44" s="149"/>
      <c r="AA44" s="149"/>
      <c r="AB44" s="149"/>
      <c r="AC44" s="149"/>
    </row>
    <row r="45" spans="1:29" ht="6.95" customHeight="1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3"/>
      <c r="AA45" s="43"/>
      <c r="AB45"/>
      <c r="AC45"/>
    </row>
    <row r="46" spans="1:29" x14ac:dyDescent="0.25">
      <c r="A46" s="145" t="s">
        <v>167</v>
      </c>
      <c r="B46" s="145"/>
      <c r="C46" s="145"/>
      <c r="D46" s="48"/>
      <c r="E46" s="141" t="s">
        <v>210</v>
      </c>
      <c r="F46" s="141"/>
      <c r="G46" s="141"/>
      <c r="H46" s="141"/>
      <c r="I46" s="141"/>
      <c r="J46" s="141"/>
      <c r="K46" s="141"/>
      <c r="L46" s="141"/>
      <c r="M46" s="170" t="s">
        <v>147</v>
      </c>
      <c r="N46" s="170"/>
      <c r="O46" s="148" t="s">
        <v>211</v>
      </c>
      <c r="P46" s="148"/>
      <c r="Q46" s="148"/>
      <c r="R46" s="148"/>
      <c r="S46" s="170" t="s">
        <v>148</v>
      </c>
      <c r="T46" s="170"/>
      <c r="U46" s="174" t="s">
        <v>212</v>
      </c>
      <c r="V46" s="174"/>
      <c r="W46" s="174"/>
      <c r="X46" s="174"/>
      <c r="Y46" s="170" t="s">
        <v>149</v>
      </c>
      <c r="Z46" s="170"/>
      <c r="AA46" s="170"/>
      <c r="AB46" s="148" t="s">
        <v>213</v>
      </c>
      <c r="AC46" s="148"/>
    </row>
    <row r="47" spans="1:29" x14ac:dyDescent="0.25">
      <c r="A47" s="42" t="s">
        <v>158</v>
      </c>
      <c r="B47" s="42"/>
      <c r="C47" s="42"/>
      <c r="D47" s="42"/>
      <c r="E47" s="42"/>
      <c r="F47" s="143" t="s">
        <v>159</v>
      </c>
      <c r="G47" s="143"/>
      <c r="H47" s="143"/>
      <c r="I47" s="143"/>
      <c r="J47" s="143"/>
      <c r="K47" s="144" t="s">
        <v>214</v>
      </c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</row>
    <row r="48" spans="1:29" x14ac:dyDescent="0.25">
      <c r="A48" s="169" t="s">
        <v>161</v>
      </c>
      <c r="B48" s="169"/>
      <c r="C48" s="169"/>
      <c r="D48" s="169"/>
      <c r="E48" s="169"/>
      <c r="F48" s="169"/>
      <c r="G48" s="169"/>
      <c r="H48" s="169"/>
      <c r="I48" s="169"/>
      <c r="J48" s="169"/>
      <c r="K48" s="169"/>
      <c r="L48" s="148" t="s">
        <v>215</v>
      </c>
      <c r="M48" s="148"/>
      <c r="N48" s="148"/>
      <c r="Q48" s="171" t="s">
        <v>163</v>
      </c>
      <c r="R48" s="171"/>
      <c r="S48" s="171"/>
      <c r="T48" s="171"/>
      <c r="U48" s="171"/>
      <c r="V48" s="171"/>
      <c r="W48" s="171"/>
      <c r="X48" s="171"/>
      <c r="Y48" s="171"/>
      <c r="Z48" s="144" t="s">
        <v>216</v>
      </c>
      <c r="AA48" s="144"/>
      <c r="AB48" s="144"/>
      <c r="AC48" s="144"/>
    </row>
    <row r="49" spans="1:29" x14ac:dyDescent="0.25">
      <c r="A49" s="169" t="s">
        <v>165</v>
      </c>
      <c r="B49" s="169"/>
      <c r="C49" s="169"/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43" t="s">
        <v>169</v>
      </c>
      <c r="X49" s="143"/>
      <c r="Y49" s="143"/>
      <c r="Z49" s="173" t="s">
        <v>217</v>
      </c>
      <c r="AA49" s="173"/>
      <c r="AB49" s="173"/>
      <c r="AC49" s="173"/>
    </row>
    <row r="50" spans="1:29" x14ac:dyDescent="0.25">
      <c r="A50" s="149" t="s">
        <v>218</v>
      </c>
      <c r="B50" s="149"/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</row>
    <row r="51" spans="1:29" x14ac:dyDescent="0.25">
      <c r="A51" s="149"/>
      <c r="B51" s="149"/>
      <c r="C51" s="149"/>
      <c r="D51" s="149"/>
      <c r="E51" s="149"/>
      <c r="F51" s="149"/>
      <c r="G51" s="149"/>
      <c r="H51" s="149"/>
      <c r="I51" s="149"/>
      <c r="J51" s="149"/>
      <c r="K51" s="149"/>
      <c r="L51" s="149"/>
      <c r="M51" s="149"/>
      <c r="N51" s="149"/>
      <c r="O51" s="149"/>
      <c r="P51" s="149"/>
      <c r="Q51" s="149"/>
      <c r="R51" s="149"/>
      <c r="S51" s="149"/>
      <c r="T51" s="149"/>
      <c r="U51" s="149"/>
      <c r="V51" s="149"/>
      <c r="W51" s="149"/>
      <c r="X51" s="149"/>
      <c r="Y51" s="149"/>
      <c r="Z51" s="149"/>
      <c r="AA51" s="149"/>
      <c r="AB51" s="149"/>
      <c r="AC51" s="149"/>
    </row>
    <row r="52" spans="1:29" ht="6.95" customHeight="1" x14ac:dyDescent="0.25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44"/>
      <c r="AC52" s="44"/>
    </row>
    <row r="53" spans="1:29" x14ac:dyDescent="0.25">
      <c r="A53" s="145" t="s">
        <v>170</v>
      </c>
      <c r="B53" s="145"/>
      <c r="C53" s="145"/>
      <c r="D53" s="145"/>
      <c r="E53" s="145"/>
      <c r="F53" s="145"/>
      <c r="G53" s="145"/>
      <c r="H53" s="145"/>
      <c r="I53" s="145"/>
      <c r="J53" s="177" t="s">
        <v>171</v>
      </c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  <c r="AB53" s="177"/>
      <c r="AC53" s="177"/>
    </row>
    <row r="54" spans="1:29" ht="6.95" customHeight="1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W54" s="42"/>
      <c r="X54" s="42"/>
      <c r="Y54" s="42"/>
      <c r="Z54" s="42"/>
      <c r="AA54" s="42"/>
      <c r="AB54"/>
      <c r="AC54"/>
    </row>
    <row r="55" spans="1:29" x14ac:dyDescent="0.25">
      <c r="A55"/>
      <c r="B55" s="178" t="s">
        <v>39</v>
      </c>
      <c r="C55" s="178"/>
      <c r="D55" s="178"/>
      <c r="E55" s="178"/>
      <c r="F55" s="178"/>
      <c r="G55" s="178"/>
      <c r="H55" s="178"/>
      <c r="I55" s="178"/>
      <c r="J55" s="178"/>
      <c r="K55" s="178"/>
      <c r="S55" s="178" t="s">
        <v>38</v>
      </c>
      <c r="T55" s="178"/>
      <c r="U55" s="178"/>
      <c r="V55" s="178"/>
      <c r="W55" s="178"/>
      <c r="X55" s="178"/>
      <c r="Y55" s="178"/>
      <c r="Z55" s="178"/>
      <c r="AA55" s="178"/>
      <c r="AB55" s="178"/>
    </row>
    <row r="56" spans="1:29" x14ac:dyDescent="0.25">
      <c r="A56"/>
      <c r="B56" s="178"/>
      <c r="C56" s="178"/>
      <c r="D56" s="178"/>
      <c r="E56" s="178"/>
      <c r="F56" s="178"/>
      <c r="G56" s="178"/>
      <c r="H56" s="178"/>
      <c r="I56" s="178"/>
      <c r="J56" s="178"/>
      <c r="K56" s="178"/>
      <c r="S56" s="178"/>
      <c r="T56" s="178"/>
      <c r="U56" s="178"/>
      <c r="V56" s="178"/>
      <c r="W56" s="178"/>
      <c r="X56" s="178"/>
      <c r="Y56" s="178"/>
      <c r="Z56" s="178"/>
      <c r="AA56" s="178"/>
      <c r="AB56" s="178"/>
    </row>
    <row r="57" spans="1:29" x14ac:dyDescent="0.25">
      <c r="A57"/>
      <c r="B57" s="178"/>
      <c r="C57" s="178"/>
      <c r="D57" s="178"/>
      <c r="E57" s="178"/>
      <c r="F57" s="178"/>
      <c r="G57" s="178"/>
      <c r="H57" s="178"/>
      <c r="I57" s="178"/>
      <c r="J57" s="178"/>
      <c r="K57" s="178"/>
      <c r="S57" s="178"/>
      <c r="T57" s="178"/>
      <c r="U57" s="178"/>
      <c r="V57" s="178"/>
      <c r="W57" s="178"/>
      <c r="X57" s="178"/>
      <c r="Y57" s="178"/>
      <c r="Z57" s="178"/>
      <c r="AA57" s="178"/>
      <c r="AB57" s="178"/>
    </row>
    <row r="58" spans="1:29" x14ac:dyDescent="0.25">
      <c r="A58"/>
      <c r="B58" s="178"/>
      <c r="C58" s="178"/>
      <c r="D58" s="178"/>
      <c r="E58" s="178"/>
      <c r="F58" s="178"/>
      <c r="G58" s="178"/>
      <c r="H58" s="178"/>
      <c r="I58" s="178"/>
      <c r="J58" s="178"/>
      <c r="K58" s="178"/>
      <c r="S58" s="178"/>
      <c r="T58" s="178"/>
      <c r="U58" s="178"/>
      <c r="V58" s="178"/>
      <c r="W58" s="178"/>
      <c r="X58" s="178"/>
      <c r="Y58" s="178"/>
      <c r="Z58" s="178"/>
      <c r="AA58" s="178"/>
      <c r="AB58" s="178"/>
    </row>
    <row r="59" spans="1:29" x14ac:dyDescent="0.25">
      <c r="A59"/>
      <c r="B59" s="148" t="s">
        <v>172</v>
      </c>
      <c r="C59" s="148"/>
      <c r="D59" s="148"/>
      <c r="E59" s="148"/>
      <c r="F59" s="148"/>
      <c r="G59" s="148"/>
      <c r="H59" s="148"/>
      <c r="I59" s="148"/>
      <c r="J59" s="148"/>
      <c r="K59" s="148"/>
      <c r="S59" s="148" t="s">
        <v>37</v>
      </c>
      <c r="T59" s="148"/>
      <c r="U59" s="148"/>
      <c r="V59" s="148"/>
      <c r="W59" s="148"/>
      <c r="X59" s="148"/>
      <c r="Y59" s="148"/>
      <c r="Z59" s="148"/>
      <c r="AA59" s="148"/>
      <c r="AB59" s="148"/>
    </row>
    <row r="60" spans="1:29" x14ac:dyDescent="0.25">
      <c r="A60"/>
      <c r="B60" s="181" t="s">
        <v>220</v>
      </c>
      <c r="C60" s="181"/>
      <c r="D60" s="181"/>
      <c r="E60" s="181"/>
      <c r="F60" s="181"/>
      <c r="G60" s="181"/>
      <c r="H60" s="181"/>
      <c r="I60" s="181"/>
      <c r="J60" s="181"/>
      <c r="K60" s="181"/>
      <c r="S60" s="180" t="s">
        <v>173</v>
      </c>
      <c r="T60" s="180"/>
      <c r="U60" s="180"/>
      <c r="V60" s="180"/>
      <c r="W60" s="180"/>
      <c r="X60" s="180"/>
      <c r="Y60" s="180"/>
      <c r="Z60" s="180"/>
      <c r="AA60" s="180"/>
      <c r="AB60" s="180"/>
      <c r="AC60"/>
    </row>
    <row r="61" spans="1:29" x14ac:dyDescent="0.25">
      <c r="A61" s="89" t="s">
        <v>174</v>
      </c>
      <c r="B61" s="89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/>
      <c r="AC61"/>
    </row>
    <row r="62" spans="1:29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/>
      <c r="AC62"/>
    </row>
    <row r="63" spans="1:29" x14ac:dyDescent="0.25">
      <c r="A63" s="176" t="s">
        <v>577</v>
      </c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P63" s="176" t="s">
        <v>577</v>
      </c>
      <c r="Q63" s="176"/>
      <c r="R63" s="176"/>
      <c r="S63" s="176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</row>
    <row r="64" spans="1:29" x14ac:dyDescent="0.2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76"/>
      <c r="AA64" s="176"/>
      <c r="AB64" s="176"/>
      <c r="AC64" s="176"/>
    </row>
    <row r="65" spans="1:29" x14ac:dyDescent="0.2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  <c r="AA65" s="176"/>
      <c r="AB65" s="176"/>
      <c r="AC65" s="176"/>
    </row>
    <row r="66" spans="1:29" x14ac:dyDescent="0.2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P66" s="176"/>
      <c r="Q66" s="176"/>
      <c r="R66" s="176"/>
      <c r="S66" s="176"/>
      <c r="T66" s="176"/>
      <c r="U66" s="176"/>
      <c r="V66" s="176"/>
      <c r="W66" s="176"/>
      <c r="X66" s="176"/>
      <c r="Y66" s="176"/>
      <c r="Z66" s="176"/>
      <c r="AA66" s="176"/>
      <c r="AB66" s="176"/>
      <c r="AC66" s="176"/>
    </row>
    <row r="67" spans="1:29" x14ac:dyDescent="0.2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P67" s="176"/>
      <c r="Q67" s="176"/>
      <c r="R67" s="176"/>
      <c r="S67" s="176"/>
      <c r="T67" s="176"/>
      <c r="U67" s="176"/>
      <c r="V67" s="176"/>
      <c r="W67" s="176"/>
      <c r="X67" s="176"/>
      <c r="Y67" s="176"/>
      <c r="Z67" s="176"/>
      <c r="AA67" s="176"/>
      <c r="AB67" s="176"/>
      <c r="AC67" s="176"/>
    </row>
    <row r="68" spans="1:29" x14ac:dyDescent="0.2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P68" s="176"/>
      <c r="Q68" s="176"/>
      <c r="R68" s="176"/>
      <c r="S68" s="176"/>
      <c r="T68" s="176"/>
      <c r="U68" s="176"/>
      <c r="V68" s="176"/>
      <c r="W68" s="176"/>
      <c r="X68" s="176"/>
      <c r="Y68" s="176"/>
      <c r="Z68" s="176"/>
      <c r="AA68" s="176"/>
      <c r="AB68" s="176"/>
      <c r="AC68" s="176"/>
    </row>
    <row r="69" spans="1:29" x14ac:dyDescent="0.2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P69" s="176"/>
      <c r="Q69" s="176"/>
      <c r="R69" s="176"/>
      <c r="S69" s="176"/>
      <c r="T69" s="176"/>
      <c r="U69" s="176"/>
      <c r="V69" s="176"/>
      <c r="W69" s="176"/>
      <c r="X69" s="176"/>
      <c r="Y69" s="176"/>
      <c r="Z69" s="176"/>
      <c r="AA69" s="176"/>
      <c r="AB69" s="176"/>
      <c r="AC69" s="176"/>
    </row>
    <row r="70" spans="1:29" x14ac:dyDescent="0.2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P70" s="176"/>
      <c r="Q70" s="176"/>
      <c r="R70" s="176"/>
      <c r="S70" s="176"/>
      <c r="T70" s="176"/>
      <c r="U70" s="176"/>
      <c r="V70" s="176"/>
      <c r="W70" s="176"/>
      <c r="X70" s="176"/>
      <c r="Y70" s="176"/>
      <c r="Z70" s="176"/>
      <c r="AA70" s="176"/>
      <c r="AB70" s="176"/>
      <c r="AC70" s="176"/>
    </row>
    <row r="71" spans="1:29" x14ac:dyDescent="0.2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P71" s="176"/>
      <c r="Q71" s="176"/>
      <c r="R71" s="176"/>
      <c r="S71" s="176"/>
      <c r="T71" s="176"/>
      <c r="U71" s="176"/>
      <c r="V71" s="176"/>
      <c r="W71" s="176"/>
      <c r="X71" s="176"/>
      <c r="Y71" s="176"/>
      <c r="Z71" s="176"/>
      <c r="AA71" s="176"/>
      <c r="AB71" s="176"/>
      <c r="AC71" s="176"/>
    </row>
    <row r="72" spans="1:29" x14ac:dyDescent="0.2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P72" s="176"/>
      <c r="Q72" s="176"/>
      <c r="R72" s="176"/>
      <c r="S72" s="176"/>
      <c r="T72" s="176"/>
      <c r="U72" s="176"/>
      <c r="V72" s="176"/>
      <c r="W72" s="176"/>
      <c r="X72" s="176"/>
      <c r="Y72" s="176"/>
      <c r="Z72" s="176"/>
      <c r="AA72" s="176"/>
      <c r="AB72" s="176"/>
      <c r="AC72" s="176"/>
    </row>
    <row r="73" spans="1:29" x14ac:dyDescent="0.2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P73" s="176"/>
      <c r="Q73" s="176"/>
      <c r="R73" s="176"/>
      <c r="S73" s="176"/>
      <c r="T73" s="176"/>
      <c r="U73" s="176"/>
      <c r="V73" s="176"/>
      <c r="W73" s="176"/>
      <c r="X73" s="176"/>
      <c r="Y73" s="176"/>
      <c r="Z73" s="176"/>
      <c r="AA73" s="176"/>
      <c r="AB73" s="176"/>
      <c r="AC73" s="176"/>
    </row>
    <row r="74" spans="1:29" x14ac:dyDescent="0.2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P74" s="176"/>
      <c r="Q74" s="176"/>
      <c r="R74" s="176"/>
      <c r="S74" s="176"/>
      <c r="T74" s="176"/>
      <c r="U74" s="176"/>
      <c r="V74" s="176"/>
      <c r="W74" s="176"/>
      <c r="X74" s="176"/>
      <c r="Y74" s="176"/>
      <c r="Z74" s="176"/>
      <c r="AA74" s="176"/>
      <c r="AB74" s="176"/>
      <c r="AC74" s="176"/>
    </row>
    <row r="75" spans="1:29" x14ac:dyDescent="0.2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P75" s="176"/>
      <c r="Q75" s="176"/>
      <c r="R75" s="176"/>
      <c r="S75" s="176"/>
      <c r="T75" s="176"/>
      <c r="U75" s="176"/>
      <c r="V75" s="176"/>
      <c r="W75" s="176"/>
      <c r="X75" s="176"/>
      <c r="Y75" s="176"/>
      <c r="Z75" s="176"/>
      <c r="AA75" s="176"/>
      <c r="AB75" s="176"/>
      <c r="AC75" s="176"/>
    </row>
    <row r="76" spans="1:29" x14ac:dyDescent="0.2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P76" s="176"/>
      <c r="Q76" s="176"/>
      <c r="R76" s="176"/>
      <c r="S76" s="176"/>
      <c r="T76" s="176"/>
      <c r="U76" s="176"/>
      <c r="V76" s="176"/>
      <c r="W76" s="176"/>
      <c r="X76" s="176"/>
      <c r="Y76" s="176"/>
      <c r="Z76" s="176"/>
      <c r="AA76" s="176"/>
      <c r="AB76" s="176"/>
      <c r="AC76" s="176"/>
    </row>
    <row r="77" spans="1:29" x14ac:dyDescent="0.2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P77" s="176"/>
      <c r="Q77" s="176"/>
      <c r="R77" s="176"/>
      <c r="S77" s="176"/>
      <c r="T77" s="176"/>
      <c r="U77" s="176"/>
      <c r="V77" s="176"/>
      <c r="W77" s="176"/>
      <c r="X77" s="176"/>
      <c r="Y77" s="176"/>
      <c r="Z77" s="176"/>
      <c r="AA77" s="176"/>
      <c r="AB77" s="176"/>
      <c r="AC77" s="176"/>
    </row>
    <row r="78" spans="1:29" x14ac:dyDescent="0.2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P78" s="176"/>
      <c r="Q78" s="176"/>
      <c r="R78" s="176"/>
      <c r="S78" s="176"/>
      <c r="T78" s="176"/>
      <c r="U78" s="176"/>
      <c r="V78" s="176"/>
      <c r="W78" s="176"/>
      <c r="X78" s="176"/>
      <c r="Y78" s="176"/>
      <c r="Z78" s="176"/>
      <c r="AA78" s="176"/>
      <c r="AB78" s="176"/>
      <c r="AC78" s="176"/>
    </row>
    <row r="79" spans="1:29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1:29" x14ac:dyDescent="0.25">
      <c r="A80" s="176" t="s">
        <v>577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P80" s="175" t="s">
        <v>577</v>
      </c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</row>
    <row r="81" spans="1:29" x14ac:dyDescent="0.2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</row>
    <row r="82" spans="1:29" x14ac:dyDescent="0.2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</row>
    <row r="83" spans="1:29" x14ac:dyDescent="0.2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</row>
    <row r="84" spans="1:29" x14ac:dyDescent="0.2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</row>
    <row r="85" spans="1:29" x14ac:dyDescent="0.2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</row>
    <row r="86" spans="1:29" x14ac:dyDescent="0.2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</row>
    <row r="87" spans="1:29" x14ac:dyDescent="0.2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</row>
    <row r="88" spans="1:29" x14ac:dyDescent="0.2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</row>
    <row r="89" spans="1:29" x14ac:dyDescent="0.2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</row>
    <row r="90" spans="1:29" x14ac:dyDescent="0.2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</row>
    <row r="91" spans="1:29" x14ac:dyDescent="0.2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</row>
    <row r="92" spans="1:29" x14ac:dyDescent="0.25">
      <c r="A92" s="176"/>
      <c r="B92" s="176"/>
      <c r="C92" s="176"/>
      <c r="D92" s="176"/>
      <c r="E92" s="176"/>
      <c r="F92" s="176"/>
      <c r="G92" s="176"/>
      <c r="H92" s="176"/>
      <c r="I92" s="176"/>
      <c r="J92" s="176"/>
      <c r="K92" s="176"/>
      <c r="L92" s="176"/>
      <c r="M92" s="176"/>
      <c r="N92" s="176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</row>
    <row r="93" spans="1:29" x14ac:dyDescent="0.25">
      <c r="A93" s="176"/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/>
      <c r="N93" s="176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</row>
    <row r="94" spans="1:29" x14ac:dyDescent="0.25">
      <c r="A94" s="176"/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/>
      <c r="N94" s="176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</row>
    <row r="95" spans="1:29" x14ac:dyDescent="0.25">
      <c r="A95" s="176"/>
      <c r="B95" s="176"/>
      <c r="C95" s="176"/>
      <c r="D95" s="176"/>
      <c r="E95" s="176"/>
      <c r="F95" s="176"/>
      <c r="G95" s="176"/>
      <c r="H95" s="176"/>
      <c r="I95" s="176"/>
      <c r="J95" s="176"/>
      <c r="K95" s="176"/>
      <c r="L95" s="176"/>
      <c r="M95" s="176"/>
      <c r="N95" s="176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</row>
    <row r="96" spans="1:29" x14ac:dyDescent="0.25">
      <c r="A96" s="24"/>
      <c r="B96" s="24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</row>
    <row r="97" spans="1:29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1:29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1:29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1:29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1:29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1:29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1:29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1:29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1:29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1:29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1:29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1:29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1:29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1:29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1:29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1:29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1:29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1:29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1:29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1:29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1:29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1:29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1:29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1:29" x14ac:dyDescent="0.25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1:29" x14ac:dyDescent="0.25">
      <c r="A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1:29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1:29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1:29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1:29" x14ac:dyDescent="0.25">
      <c r="A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1:29" x14ac:dyDescent="0.25">
      <c r="A126"/>
      <c r="B126"/>
      <c r="C126"/>
      <c r="D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1:29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1:29" x14ac:dyDescent="0.25">
      <c r="A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1:29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1:29" x14ac:dyDescent="0.25">
      <c r="A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1:29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1:29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1:29" x14ac:dyDescent="0.25">
      <c r="A133"/>
      <c r="B133"/>
      <c r="C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1:29" x14ac:dyDescent="0.25">
      <c r="A134"/>
      <c r="B134"/>
      <c r="C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1:29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1:29" x14ac:dyDescent="0.25">
      <c r="A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1:29" x14ac:dyDescent="0.25">
      <c r="A137"/>
      <c r="B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1:29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1:29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1:29" x14ac:dyDescent="0.25">
      <c r="A140"/>
      <c r="B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1:29" x14ac:dyDescent="0.25">
      <c r="A141"/>
      <c r="B141"/>
      <c r="C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1:29" x14ac:dyDescent="0.25">
      <c r="A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1:29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1:29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</row>
    <row r="145" spans="1:29" x14ac:dyDescent="0.25">
      <c r="A145" s="44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</row>
    <row r="146" spans="1:29" x14ac:dyDescent="0.25">
      <c r="A146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</row>
    <row r="147" spans="1:29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</row>
    <row r="148" spans="1:29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</row>
    <row r="149" spans="1:29" x14ac:dyDescent="0.25"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</row>
    <row r="150" spans="1:29" x14ac:dyDescent="0.25">
      <c r="E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</row>
    <row r="151" spans="1:29" x14ac:dyDescent="0.25"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</row>
    <row r="152" spans="1:29" x14ac:dyDescent="0.25"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</row>
    <row r="153" spans="1:29" x14ac:dyDescent="0.25"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</row>
    <row r="154" spans="1:29" x14ac:dyDescent="0.25"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</row>
    <row r="155" spans="1:29" x14ac:dyDescent="0.25"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</row>
    <row r="156" spans="1:29" x14ac:dyDescent="0.25"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1:29" x14ac:dyDescent="0.25"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</row>
    <row r="158" spans="1:29" x14ac:dyDescent="0.25"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</row>
    <row r="159" spans="1:29" x14ac:dyDescent="0.25"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</row>
    <row r="160" spans="1:29" x14ac:dyDescent="0.25"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</row>
    <row r="161" spans="1:29" x14ac:dyDescent="0.25"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</row>
    <row r="162" spans="1:29" x14ac:dyDescent="0.25"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</row>
    <row r="163" spans="1:29" x14ac:dyDescent="0.25"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</row>
    <row r="164" spans="1:29" x14ac:dyDescent="0.25"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</row>
    <row r="165" spans="1:29" x14ac:dyDescent="0.25"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</row>
    <row r="166" spans="1:29" x14ac:dyDescent="0.25"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</row>
    <row r="167" spans="1:29" x14ac:dyDescent="0.25"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</row>
    <row r="168" spans="1:29" x14ac:dyDescent="0.25"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</row>
    <row r="169" spans="1:29" x14ac:dyDescent="0.25"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</row>
    <row r="170" spans="1:29" x14ac:dyDescent="0.25">
      <c r="A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</row>
    <row r="171" spans="1:29" x14ac:dyDescent="0.2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</row>
    <row r="172" spans="1:29" x14ac:dyDescent="0.25"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</row>
    <row r="173" spans="1:29" x14ac:dyDescent="0.25"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</row>
    <row r="174" spans="1:29" x14ac:dyDescent="0.25"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</row>
    <row r="175" spans="1:29" x14ac:dyDescent="0.25"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</row>
    <row r="176" spans="1:29" x14ac:dyDescent="0.25"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</row>
    <row r="177" spans="1:29" x14ac:dyDescent="0.25"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</row>
    <row r="178" spans="1:29" x14ac:dyDescent="0.25"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</row>
    <row r="179" spans="1:29" x14ac:dyDescent="0.25"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</row>
    <row r="180" spans="1:29" x14ac:dyDescent="0.25"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</row>
    <row r="181" spans="1:29" x14ac:dyDescent="0.25"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</row>
    <row r="182" spans="1:29" x14ac:dyDescent="0.25"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</row>
    <row r="183" spans="1:29" x14ac:dyDescent="0.25"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</row>
    <row r="184" spans="1:29" x14ac:dyDescent="0.25"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</row>
    <row r="185" spans="1:29" x14ac:dyDescent="0.25"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</row>
    <row r="186" spans="1:29" x14ac:dyDescent="0.25"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</row>
    <row r="187" spans="1:29" x14ac:dyDescent="0.25"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</row>
    <row r="188" spans="1:29" x14ac:dyDescent="0.25">
      <c r="E188" s="36"/>
    </row>
    <row r="189" spans="1:29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</row>
    <row r="190" spans="1:29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</row>
    <row r="191" spans="1:29" x14ac:dyDescent="0.25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</row>
  </sheetData>
  <mergeCells count="133">
    <mergeCell ref="A1:AC1"/>
    <mergeCell ref="A61:AA61"/>
    <mergeCell ref="S60:AB60"/>
    <mergeCell ref="B60:K60"/>
    <mergeCell ref="P63:AC78"/>
    <mergeCell ref="A63:N78"/>
    <mergeCell ref="F47:J47"/>
    <mergeCell ref="A48:K48"/>
    <mergeCell ref="L48:N48"/>
    <mergeCell ref="Q48:Y48"/>
    <mergeCell ref="Z48:AC48"/>
    <mergeCell ref="A49:V49"/>
    <mergeCell ref="W49:Y49"/>
    <mergeCell ref="K47:AC47"/>
    <mergeCell ref="Z49:AC49"/>
    <mergeCell ref="A46:C46"/>
    <mergeCell ref="M46:N46"/>
    <mergeCell ref="O46:R46"/>
    <mergeCell ref="S46:T46"/>
    <mergeCell ref="U46:X46"/>
    <mergeCell ref="Y46:AA46"/>
    <mergeCell ref="AB46:AC46"/>
    <mergeCell ref="A43:AC44"/>
    <mergeCell ref="E46:L46"/>
    <mergeCell ref="P80:AC95"/>
    <mergeCell ref="A80:N95"/>
    <mergeCell ref="A50:AC51"/>
    <mergeCell ref="A53:I53"/>
    <mergeCell ref="J53:AC53"/>
    <mergeCell ref="S55:AB58"/>
    <mergeCell ref="S59:AB59"/>
    <mergeCell ref="B55:K58"/>
    <mergeCell ref="B59:K59"/>
    <mergeCell ref="F40:J40"/>
    <mergeCell ref="A41:K41"/>
    <mergeCell ref="L41:N41"/>
    <mergeCell ref="Q41:Y41"/>
    <mergeCell ref="Z41:AC41"/>
    <mergeCell ref="A42:V42"/>
    <mergeCell ref="W42:Y42"/>
    <mergeCell ref="K40:AC40"/>
    <mergeCell ref="Z42:AC42"/>
    <mergeCell ref="A39:C39"/>
    <mergeCell ref="M39:N39"/>
    <mergeCell ref="O39:R39"/>
    <mergeCell ref="S39:T39"/>
    <mergeCell ref="U39:X39"/>
    <mergeCell ref="Y39:AA39"/>
    <mergeCell ref="AB39:AC39"/>
    <mergeCell ref="E39:L39"/>
    <mergeCell ref="F33:J33"/>
    <mergeCell ref="A34:K34"/>
    <mergeCell ref="L34:N34"/>
    <mergeCell ref="P34:X34"/>
    <mergeCell ref="A35:V35"/>
    <mergeCell ref="W35:Y35"/>
    <mergeCell ref="K33:AC33"/>
    <mergeCell ref="Y34:AC34"/>
    <mergeCell ref="Z35:AC35"/>
    <mergeCell ref="A32:C32"/>
    <mergeCell ref="M32:N32"/>
    <mergeCell ref="O32:R32"/>
    <mergeCell ref="S32:T32"/>
    <mergeCell ref="U32:X32"/>
    <mergeCell ref="Y32:AA32"/>
    <mergeCell ref="AB32:AC32"/>
    <mergeCell ref="A36:AC37"/>
    <mergeCell ref="A29:AC30"/>
    <mergeCell ref="E32:L32"/>
    <mergeCell ref="F26:J26"/>
    <mergeCell ref="A27:K27"/>
    <mergeCell ref="P27:X27"/>
    <mergeCell ref="A28:V28"/>
    <mergeCell ref="W28:Y28"/>
    <mergeCell ref="K26:AC26"/>
    <mergeCell ref="Y27:AC27"/>
    <mergeCell ref="L27:O27"/>
    <mergeCell ref="Z28:AC28"/>
    <mergeCell ref="A20:L20"/>
    <mergeCell ref="A21:AA21"/>
    <mergeCell ref="A25:C25"/>
    <mergeCell ref="M25:N25"/>
    <mergeCell ref="O25:R25"/>
    <mergeCell ref="S25:T25"/>
    <mergeCell ref="U25:X25"/>
    <mergeCell ref="AB25:AC25"/>
    <mergeCell ref="Z20:AC20"/>
    <mergeCell ref="Q20:Y20"/>
    <mergeCell ref="M20:P20"/>
    <mergeCell ref="A22:AC23"/>
    <mergeCell ref="Y25:AA25"/>
    <mergeCell ref="E25:L25"/>
    <mergeCell ref="W3:AB3"/>
    <mergeCell ref="D11:G11"/>
    <mergeCell ref="J11:M11"/>
    <mergeCell ref="Q4:AB4"/>
    <mergeCell ref="E6:AB7"/>
    <mergeCell ref="T5:V5"/>
    <mergeCell ref="Z5:AB5"/>
    <mergeCell ref="W5:Y5"/>
    <mergeCell ref="A3:B3"/>
    <mergeCell ref="C3:G3"/>
    <mergeCell ref="I3:L3"/>
    <mergeCell ref="M3:P3"/>
    <mergeCell ref="R3:V3"/>
    <mergeCell ref="W11:X11"/>
    <mergeCell ref="AB11:AC11"/>
    <mergeCell ref="Z10:AC10"/>
    <mergeCell ref="Y11:AA11"/>
    <mergeCell ref="S11:T11"/>
    <mergeCell ref="U11:V11"/>
    <mergeCell ref="A4:C4"/>
    <mergeCell ref="D4:N4"/>
    <mergeCell ref="O4:P4"/>
    <mergeCell ref="A5:S5"/>
    <mergeCell ref="A6:D7"/>
    <mergeCell ref="N11:O11"/>
    <mergeCell ref="Q11:R11"/>
    <mergeCell ref="F19:AC19"/>
    <mergeCell ref="A10:B10"/>
    <mergeCell ref="C10:H10"/>
    <mergeCell ref="I10:P10"/>
    <mergeCell ref="Q10:Y10"/>
    <mergeCell ref="A11:C11"/>
    <mergeCell ref="H11:I11"/>
    <mergeCell ref="A12:I12"/>
    <mergeCell ref="J12:L12"/>
    <mergeCell ref="O12:Q12"/>
    <mergeCell ref="R12:S12"/>
    <mergeCell ref="A13:AA13"/>
    <mergeCell ref="A18:H18"/>
    <mergeCell ref="A14:AC16"/>
    <mergeCell ref="I18:AC18"/>
  </mergeCells>
  <printOptions horizontalCentered="1"/>
  <pageMargins left="0.25" right="0.17" top="0.25" bottom="0" header="0.3" footer="0"/>
  <pageSetup scale="95" fitToHeight="0" orientation="portrait" r:id="rId1"/>
  <headerFooter>
    <oddFooter>&amp;C&amp;P of &amp;N</oddFooter>
  </headerFooter>
  <rowBreaks count="1" manualBreakCount="1">
    <brk id="60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workbookViewId="0">
      <selection activeCell="F1" sqref="F1"/>
    </sheetView>
  </sheetViews>
  <sheetFormatPr defaultColWidth="3.7109375" defaultRowHeight="15" x14ac:dyDescent="0.25"/>
  <cols>
    <col min="1" max="1" bestFit="true" customWidth="true" style="9" width="18.5703125" collapsed="false"/>
    <col min="2" max="2" bestFit="true" customWidth="true" style="9" width="18.28515625" collapsed="false"/>
    <col min="3" max="3" bestFit="true" customWidth="true" style="9" width="13.5703125" collapsed="false"/>
    <col min="5" max="5" customWidth="true" width="18.7109375" collapsed="false"/>
    <col min="6" max="6" bestFit="true" customWidth="true" width="13.5703125" collapsed="false"/>
  </cols>
  <sheetData>
    <row r="1" spans="1:6" ht="15" customHeight="1" x14ac:dyDescent="0.25">
      <c r="A1" s="27"/>
      <c r="B1" s="3"/>
      <c r="C1" s="4"/>
      <c r="E1" t="str">
        <f>IF(OR(E2={"Yes","Keyed","Refused","No Access"}),E2,"")</f>
        <v/>
      </c>
      <c r="F1" t="str">
        <f>SUBSTITUTE(C1,",",CHAR(10))</f>
        <v/>
      </c>
    </row>
    <row r="2" spans="1:6" x14ac:dyDescent="0.25">
      <c r="A2" s="26"/>
      <c r="B2" s="3"/>
      <c r="C2" s="4"/>
    </row>
    <row r="3" spans="1:6" ht="15" customHeight="1" x14ac:dyDescent="0.25">
      <c r="A3" s="27"/>
      <c r="B3" s="3"/>
      <c r="C3" s="4"/>
    </row>
    <row r="4" spans="1:6" x14ac:dyDescent="0.25">
      <c r="A4" s="27"/>
      <c r="B4" s="3"/>
      <c r="C4" s="4"/>
    </row>
    <row r="5" spans="1:6" ht="15" customHeight="1" x14ac:dyDescent="0.25">
      <c r="A5" s="27"/>
      <c r="B5" s="3"/>
      <c r="C5" s="25"/>
    </row>
    <row r="6" spans="1:6" ht="15" customHeight="1" x14ac:dyDescent="0.25">
      <c r="A6" s="4"/>
      <c r="B6" s="25"/>
      <c r="C6" s="25"/>
    </row>
    <row r="7" spans="1:6" x14ac:dyDescent="0.25">
      <c r="A7" s="4"/>
      <c r="B7" s="25"/>
      <c r="C7" s="25"/>
    </row>
    <row r="8" spans="1:6" ht="15" customHeight="1" x14ac:dyDescent="0.25">
      <c r="A8" s="4"/>
      <c r="B8" s="4"/>
      <c r="C8" s="4"/>
    </row>
    <row r="9" spans="1:6" x14ac:dyDescent="0.25">
      <c r="A9" s="4"/>
      <c r="B9" s="4"/>
      <c r="C9" s="4"/>
    </row>
  </sheetData>
  <sortState ref="A1:D57">
    <sortCondition ref="A1:A5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Sheet4</vt:lpstr>
      <vt:lpstr>OMR</vt:lpstr>
      <vt:lpstr>Bed Bug Inspection</vt:lpstr>
      <vt:lpstr>Heat Evaluation</vt:lpstr>
      <vt:lpstr>Sheet1</vt:lpstr>
      <vt:lpstr>'Bed Bug Inspection'!Print_Area</vt:lpstr>
      <vt:lpstr>'Heat Evaluation'!Print_Area</vt:lpstr>
      <vt:lpstr>OMR!Print_Area</vt:lpstr>
      <vt:lpstr>Sheet4!Print_Area</vt:lpstr>
      <vt:lpstr>Sheet4!Print_Titles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2015-04-07T12:42:20Z</dcterms:created>
  <dc:creator>Kristi Stevenson</dc:creator>
  <lastModifiedBy>Kristi Stevenson</lastModifiedBy>
  <lastPrinted>2016-02-15T15:26:47Z</lastPrinted>
  <dcterms:modified xsi:type="dcterms:W3CDTF">2016-02-15T17:08:41Z</dcterms:modified>
</coreProperties>
</file>